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773982c2b5cb06d/Documentos/QSAR_MESTRADO/Artigo/Supplementary Material/"/>
    </mc:Choice>
  </mc:AlternateContent>
  <xr:revisionPtr revIDLastSave="32" documentId="11_88A8EE5D425CD46ED2D0AE3F2CC178C7B9EDE9F9" xr6:coauthVersionLast="47" xr6:coauthVersionMax="47" xr10:uidLastSave="{4AED8334-A175-4077-BC9D-E2B900063F1C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4" i="1" l="1"/>
  <c r="BW3" i="1"/>
  <c r="BW6" i="1" l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X6" i="1"/>
  <c r="BY6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BX233" i="1"/>
  <c r="BY233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BX236" i="1"/>
  <c r="BY236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BX239" i="1"/>
  <c r="BY239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BX242" i="1"/>
  <c r="BY242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R4" i="1"/>
  <c r="S4" i="1"/>
  <c r="T4" i="1"/>
  <c r="R5" i="1"/>
  <c r="S5" i="1"/>
  <c r="T5" i="1"/>
  <c r="R6" i="1"/>
  <c r="S6" i="1"/>
  <c r="T6" i="1"/>
  <c r="R7" i="1"/>
  <c r="S7" i="1"/>
  <c r="T7" i="1"/>
  <c r="R8" i="1"/>
  <c r="S8" i="1"/>
  <c r="T8" i="1"/>
  <c r="R9" i="1"/>
  <c r="S9" i="1"/>
  <c r="T9" i="1"/>
  <c r="R10" i="1"/>
  <c r="S10" i="1"/>
  <c r="T10" i="1"/>
  <c r="R11" i="1"/>
  <c r="S11" i="1"/>
  <c r="T11" i="1"/>
  <c r="R12" i="1"/>
  <c r="S12" i="1"/>
  <c r="T12" i="1"/>
  <c r="R13" i="1"/>
  <c r="S13" i="1"/>
  <c r="T13" i="1"/>
  <c r="R14" i="1"/>
  <c r="S14" i="1"/>
  <c r="T14" i="1"/>
  <c r="R15" i="1"/>
  <c r="S15" i="1"/>
  <c r="T15" i="1"/>
  <c r="R16" i="1"/>
  <c r="S16" i="1"/>
  <c r="T16" i="1"/>
  <c r="R17" i="1"/>
  <c r="S17" i="1"/>
  <c r="T17" i="1"/>
  <c r="R18" i="1"/>
  <c r="S18" i="1"/>
  <c r="T18" i="1"/>
  <c r="R19" i="1"/>
  <c r="S19" i="1"/>
  <c r="T19" i="1"/>
  <c r="R20" i="1"/>
  <c r="S20" i="1"/>
  <c r="T20" i="1"/>
  <c r="R21" i="1"/>
  <c r="S21" i="1"/>
  <c r="T21" i="1"/>
  <c r="R22" i="1"/>
  <c r="S22" i="1"/>
  <c r="T22" i="1"/>
  <c r="R23" i="1"/>
  <c r="S23" i="1"/>
  <c r="T23" i="1"/>
  <c r="R24" i="1"/>
  <c r="S24" i="1"/>
  <c r="T24" i="1"/>
  <c r="R25" i="1"/>
  <c r="S25" i="1"/>
  <c r="T25" i="1"/>
  <c r="R26" i="1"/>
  <c r="S26" i="1"/>
  <c r="T26" i="1"/>
  <c r="R27" i="1"/>
  <c r="S27" i="1"/>
  <c r="T27" i="1"/>
  <c r="R28" i="1"/>
  <c r="S28" i="1"/>
  <c r="T28" i="1"/>
  <c r="R29" i="1"/>
  <c r="S29" i="1"/>
  <c r="T29" i="1"/>
  <c r="R30" i="1"/>
  <c r="S30" i="1"/>
  <c r="T30" i="1"/>
  <c r="R31" i="1"/>
  <c r="S31" i="1"/>
  <c r="T31" i="1"/>
  <c r="R32" i="1"/>
  <c r="S32" i="1"/>
  <c r="T32" i="1"/>
  <c r="R33" i="1"/>
  <c r="S33" i="1"/>
  <c r="T33" i="1"/>
  <c r="R34" i="1"/>
  <c r="S34" i="1"/>
  <c r="T34" i="1"/>
  <c r="R35" i="1"/>
  <c r="S35" i="1"/>
  <c r="T35" i="1"/>
  <c r="R36" i="1"/>
  <c r="S36" i="1"/>
  <c r="T36" i="1"/>
  <c r="R37" i="1"/>
  <c r="S37" i="1"/>
  <c r="T37" i="1"/>
  <c r="R38" i="1"/>
  <c r="S38" i="1"/>
  <c r="T38" i="1"/>
  <c r="R39" i="1"/>
  <c r="S39" i="1"/>
  <c r="T39" i="1"/>
  <c r="R40" i="1"/>
  <c r="S40" i="1"/>
  <c r="T40" i="1"/>
  <c r="R41" i="1"/>
  <c r="S41" i="1"/>
  <c r="T41" i="1"/>
  <c r="R42" i="1"/>
  <c r="S42" i="1"/>
  <c r="T42" i="1"/>
  <c r="R43" i="1"/>
  <c r="S43" i="1"/>
  <c r="T43" i="1"/>
  <c r="R44" i="1"/>
  <c r="S44" i="1"/>
  <c r="T44" i="1"/>
  <c r="R45" i="1"/>
  <c r="S45" i="1"/>
  <c r="T45" i="1"/>
  <c r="R46" i="1"/>
  <c r="S46" i="1"/>
  <c r="T46" i="1"/>
  <c r="R47" i="1"/>
  <c r="S47" i="1"/>
  <c r="T47" i="1"/>
  <c r="R48" i="1"/>
  <c r="S48" i="1"/>
  <c r="T48" i="1"/>
  <c r="R49" i="1"/>
  <c r="S49" i="1"/>
  <c r="T49" i="1"/>
  <c r="R50" i="1"/>
  <c r="S50" i="1"/>
  <c r="T50" i="1"/>
  <c r="R51" i="1"/>
  <c r="S51" i="1"/>
  <c r="T51" i="1"/>
  <c r="R52" i="1"/>
  <c r="S52" i="1"/>
  <c r="T52" i="1"/>
  <c r="R53" i="1"/>
  <c r="S53" i="1"/>
  <c r="T53" i="1"/>
  <c r="R54" i="1"/>
  <c r="S54" i="1"/>
  <c r="T54" i="1"/>
  <c r="R55" i="1"/>
  <c r="S55" i="1"/>
  <c r="T55" i="1"/>
  <c r="R56" i="1"/>
  <c r="S56" i="1"/>
  <c r="T56" i="1"/>
  <c r="R57" i="1"/>
  <c r="S57" i="1"/>
  <c r="T57" i="1"/>
  <c r="R58" i="1"/>
  <c r="S58" i="1"/>
  <c r="T58" i="1"/>
  <c r="R59" i="1"/>
  <c r="S59" i="1"/>
  <c r="T59" i="1"/>
  <c r="R60" i="1"/>
  <c r="S60" i="1"/>
  <c r="T60" i="1"/>
  <c r="R61" i="1"/>
  <c r="S61" i="1"/>
  <c r="T61" i="1"/>
  <c r="R62" i="1"/>
  <c r="S62" i="1"/>
  <c r="T62" i="1"/>
  <c r="R63" i="1"/>
  <c r="S63" i="1"/>
  <c r="T63" i="1"/>
  <c r="R64" i="1"/>
  <c r="S64" i="1"/>
  <c r="T64" i="1"/>
  <c r="R65" i="1"/>
  <c r="S65" i="1"/>
  <c r="T65" i="1"/>
  <c r="R66" i="1"/>
  <c r="S66" i="1"/>
  <c r="T66" i="1"/>
  <c r="R67" i="1"/>
  <c r="S67" i="1"/>
  <c r="T67" i="1"/>
  <c r="R68" i="1"/>
  <c r="S68" i="1"/>
  <c r="T68" i="1"/>
  <c r="R69" i="1"/>
  <c r="S69" i="1"/>
  <c r="T69" i="1"/>
  <c r="R70" i="1"/>
  <c r="S70" i="1"/>
  <c r="T70" i="1"/>
  <c r="R71" i="1"/>
  <c r="S71" i="1"/>
  <c r="T71" i="1"/>
  <c r="R72" i="1"/>
  <c r="S72" i="1"/>
  <c r="T72" i="1"/>
  <c r="R73" i="1"/>
  <c r="S73" i="1"/>
  <c r="T73" i="1"/>
  <c r="R74" i="1"/>
  <c r="S74" i="1"/>
  <c r="T74" i="1"/>
  <c r="R75" i="1"/>
  <c r="S75" i="1"/>
  <c r="T75" i="1"/>
  <c r="R76" i="1"/>
  <c r="S76" i="1"/>
  <c r="T76" i="1"/>
  <c r="R77" i="1"/>
  <c r="S77" i="1"/>
  <c r="T77" i="1"/>
  <c r="R78" i="1"/>
  <c r="S78" i="1"/>
  <c r="T78" i="1"/>
  <c r="R79" i="1"/>
  <c r="S79" i="1"/>
  <c r="T79" i="1"/>
  <c r="R80" i="1"/>
  <c r="S80" i="1"/>
  <c r="T80" i="1"/>
  <c r="R81" i="1"/>
  <c r="S81" i="1"/>
  <c r="T81" i="1"/>
  <c r="R82" i="1"/>
  <c r="S82" i="1"/>
  <c r="T82" i="1"/>
  <c r="R83" i="1"/>
  <c r="S83" i="1"/>
  <c r="T83" i="1"/>
  <c r="R84" i="1"/>
  <c r="S84" i="1"/>
  <c r="T84" i="1"/>
  <c r="R85" i="1"/>
  <c r="S85" i="1"/>
  <c r="T85" i="1"/>
  <c r="R86" i="1"/>
  <c r="S86" i="1"/>
  <c r="T86" i="1"/>
  <c r="R87" i="1"/>
  <c r="S87" i="1"/>
  <c r="T87" i="1"/>
  <c r="R88" i="1"/>
  <c r="S88" i="1"/>
  <c r="T88" i="1"/>
  <c r="R89" i="1"/>
  <c r="S89" i="1"/>
  <c r="T89" i="1"/>
  <c r="R90" i="1"/>
  <c r="S90" i="1"/>
  <c r="T90" i="1"/>
  <c r="R91" i="1"/>
  <c r="S91" i="1"/>
  <c r="T91" i="1"/>
  <c r="R92" i="1"/>
  <c r="S92" i="1"/>
  <c r="T92" i="1"/>
  <c r="R93" i="1"/>
  <c r="S93" i="1"/>
  <c r="T93" i="1"/>
  <c r="R94" i="1"/>
  <c r="S94" i="1"/>
  <c r="T94" i="1"/>
  <c r="R95" i="1"/>
  <c r="S95" i="1"/>
  <c r="T95" i="1"/>
  <c r="R96" i="1"/>
  <c r="S96" i="1"/>
  <c r="T96" i="1"/>
  <c r="R97" i="1"/>
  <c r="S97" i="1"/>
  <c r="T97" i="1"/>
  <c r="R98" i="1"/>
  <c r="S98" i="1"/>
  <c r="T98" i="1"/>
  <c r="R99" i="1"/>
  <c r="S99" i="1"/>
  <c r="T99" i="1"/>
  <c r="R100" i="1"/>
  <c r="S100" i="1"/>
  <c r="T100" i="1"/>
  <c r="R101" i="1"/>
  <c r="S101" i="1"/>
  <c r="T101" i="1"/>
  <c r="R102" i="1"/>
  <c r="S102" i="1"/>
  <c r="T102" i="1"/>
  <c r="R103" i="1"/>
  <c r="S103" i="1"/>
  <c r="T103" i="1"/>
  <c r="R104" i="1"/>
  <c r="S104" i="1"/>
  <c r="T104" i="1"/>
  <c r="R105" i="1"/>
  <c r="S105" i="1"/>
  <c r="T105" i="1"/>
  <c r="R106" i="1"/>
  <c r="S106" i="1"/>
  <c r="T106" i="1"/>
  <c r="R107" i="1"/>
  <c r="S107" i="1"/>
  <c r="T107" i="1"/>
  <c r="R108" i="1"/>
  <c r="S108" i="1"/>
  <c r="T108" i="1"/>
  <c r="R109" i="1"/>
  <c r="S109" i="1"/>
  <c r="T109" i="1"/>
  <c r="R110" i="1"/>
  <c r="S110" i="1"/>
  <c r="T110" i="1"/>
  <c r="R111" i="1"/>
  <c r="S111" i="1"/>
  <c r="T111" i="1"/>
  <c r="R112" i="1"/>
  <c r="S112" i="1"/>
  <c r="T112" i="1"/>
  <c r="R113" i="1"/>
  <c r="S113" i="1"/>
  <c r="T113" i="1"/>
  <c r="R114" i="1"/>
  <c r="S114" i="1"/>
  <c r="T114" i="1"/>
  <c r="R115" i="1"/>
  <c r="S115" i="1"/>
  <c r="T115" i="1"/>
  <c r="R116" i="1"/>
  <c r="S116" i="1"/>
  <c r="T116" i="1"/>
  <c r="R117" i="1"/>
  <c r="S117" i="1"/>
  <c r="T117" i="1"/>
  <c r="R118" i="1"/>
  <c r="S118" i="1"/>
  <c r="T118" i="1"/>
  <c r="R119" i="1"/>
  <c r="S119" i="1"/>
  <c r="T119" i="1"/>
  <c r="R120" i="1"/>
  <c r="S120" i="1"/>
  <c r="T120" i="1"/>
  <c r="R121" i="1"/>
  <c r="S121" i="1"/>
  <c r="T121" i="1"/>
  <c r="R122" i="1"/>
  <c r="S122" i="1"/>
  <c r="T122" i="1"/>
  <c r="R123" i="1"/>
  <c r="S123" i="1"/>
  <c r="T123" i="1"/>
  <c r="R124" i="1"/>
  <c r="S124" i="1"/>
  <c r="T124" i="1"/>
  <c r="R125" i="1"/>
  <c r="S125" i="1"/>
  <c r="T125" i="1"/>
  <c r="R126" i="1"/>
  <c r="S126" i="1"/>
  <c r="T126" i="1"/>
  <c r="R127" i="1"/>
  <c r="S127" i="1"/>
  <c r="T127" i="1"/>
  <c r="R128" i="1"/>
  <c r="S128" i="1"/>
  <c r="T128" i="1"/>
  <c r="R129" i="1"/>
  <c r="S129" i="1"/>
  <c r="T129" i="1"/>
  <c r="R130" i="1"/>
  <c r="S130" i="1"/>
  <c r="T130" i="1"/>
  <c r="R131" i="1"/>
  <c r="S131" i="1"/>
  <c r="T131" i="1"/>
  <c r="R132" i="1"/>
  <c r="S132" i="1"/>
  <c r="T132" i="1"/>
  <c r="R133" i="1"/>
  <c r="S133" i="1"/>
  <c r="T133" i="1"/>
  <c r="R134" i="1"/>
  <c r="S134" i="1"/>
  <c r="T134" i="1"/>
  <c r="R135" i="1"/>
  <c r="S135" i="1"/>
  <c r="T135" i="1"/>
  <c r="R136" i="1"/>
  <c r="S136" i="1"/>
  <c r="T136" i="1"/>
  <c r="R137" i="1"/>
  <c r="S137" i="1"/>
  <c r="T137" i="1"/>
  <c r="R138" i="1"/>
  <c r="S138" i="1"/>
  <c r="T138" i="1"/>
  <c r="R139" i="1"/>
  <c r="S139" i="1"/>
  <c r="T139" i="1"/>
  <c r="R140" i="1"/>
  <c r="S140" i="1"/>
  <c r="T140" i="1"/>
  <c r="R141" i="1"/>
  <c r="S141" i="1"/>
  <c r="T141" i="1"/>
  <c r="R142" i="1"/>
  <c r="S142" i="1"/>
  <c r="T142" i="1"/>
  <c r="R143" i="1"/>
  <c r="S143" i="1"/>
  <c r="T143" i="1"/>
  <c r="R144" i="1"/>
  <c r="S144" i="1"/>
  <c r="T144" i="1"/>
  <c r="R145" i="1"/>
  <c r="S145" i="1"/>
  <c r="T145" i="1"/>
  <c r="R146" i="1"/>
  <c r="S146" i="1"/>
  <c r="T146" i="1"/>
  <c r="R147" i="1"/>
  <c r="S147" i="1"/>
  <c r="T147" i="1"/>
  <c r="R148" i="1"/>
  <c r="S148" i="1"/>
  <c r="T148" i="1"/>
  <c r="R149" i="1"/>
  <c r="S149" i="1"/>
  <c r="T149" i="1"/>
  <c r="R150" i="1"/>
  <c r="S150" i="1"/>
  <c r="T150" i="1"/>
  <c r="R151" i="1"/>
  <c r="S151" i="1"/>
  <c r="T151" i="1"/>
  <c r="R152" i="1"/>
  <c r="S152" i="1"/>
  <c r="T152" i="1"/>
  <c r="R153" i="1"/>
  <c r="S153" i="1"/>
  <c r="T153" i="1"/>
  <c r="R154" i="1"/>
  <c r="S154" i="1"/>
  <c r="T154" i="1"/>
  <c r="R155" i="1"/>
  <c r="S155" i="1"/>
  <c r="T155" i="1"/>
  <c r="R156" i="1"/>
  <c r="S156" i="1"/>
  <c r="T156" i="1"/>
  <c r="R157" i="1"/>
  <c r="S157" i="1"/>
  <c r="T157" i="1"/>
  <c r="R158" i="1"/>
  <c r="S158" i="1"/>
  <c r="T158" i="1"/>
  <c r="R159" i="1"/>
  <c r="S159" i="1"/>
  <c r="T159" i="1"/>
  <c r="R160" i="1"/>
  <c r="S160" i="1"/>
  <c r="T160" i="1"/>
  <c r="R161" i="1"/>
  <c r="S161" i="1"/>
  <c r="T161" i="1"/>
  <c r="R162" i="1"/>
  <c r="S162" i="1"/>
  <c r="T162" i="1"/>
  <c r="R163" i="1"/>
  <c r="S163" i="1"/>
  <c r="T163" i="1"/>
  <c r="R164" i="1"/>
  <c r="S164" i="1"/>
  <c r="T164" i="1"/>
  <c r="R165" i="1"/>
  <c r="S165" i="1"/>
  <c r="T165" i="1"/>
  <c r="R166" i="1"/>
  <c r="S166" i="1"/>
  <c r="T166" i="1"/>
  <c r="R167" i="1"/>
  <c r="S167" i="1"/>
  <c r="T167" i="1"/>
  <c r="R168" i="1"/>
  <c r="S168" i="1"/>
  <c r="T168" i="1"/>
  <c r="R169" i="1"/>
  <c r="S169" i="1"/>
  <c r="T169" i="1"/>
  <c r="R170" i="1"/>
  <c r="S170" i="1"/>
  <c r="T170" i="1"/>
  <c r="R171" i="1"/>
  <c r="S171" i="1"/>
  <c r="T171" i="1"/>
  <c r="R172" i="1"/>
  <c r="S172" i="1"/>
  <c r="T172" i="1"/>
  <c r="R173" i="1"/>
  <c r="S173" i="1"/>
  <c r="T173" i="1"/>
  <c r="R174" i="1"/>
  <c r="S174" i="1"/>
  <c r="T174" i="1"/>
  <c r="R175" i="1"/>
  <c r="S175" i="1"/>
  <c r="T175" i="1"/>
  <c r="R176" i="1"/>
  <c r="S176" i="1"/>
  <c r="T176" i="1"/>
  <c r="R177" i="1"/>
  <c r="S177" i="1"/>
  <c r="T177" i="1"/>
  <c r="R178" i="1"/>
  <c r="S178" i="1"/>
  <c r="T178" i="1"/>
  <c r="R179" i="1"/>
  <c r="S179" i="1"/>
  <c r="T179" i="1"/>
  <c r="R180" i="1"/>
  <c r="S180" i="1"/>
  <c r="T180" i="1"/>
  <c r="R181" i="1"/>
  <c r="S181" i="1"/>
  <c r="T181" i="1"/>
  <c r="R182" i="1"/>
  <c r="S182" i="1"/>
  <c r="T182" i="1"/>
  <c r="R183" i="1"/>
  <c r="S183" i="1"/>
  <c r="T183" i="1"/>
  <c r="R184" i="1"/>
  <c r="S184" i="1"/>
  <c r="T184" i="1"/>
  <c r="R185" i="1"/>
  <c r="S185" i="1"/>
  <c r="T185" i="1"/>
  <c r="R186" i="1"/>
  <c r="S186" i="1"/>
  <c r="T186" i="1"/>
  <c r="R187" i="1"/>
  <c r="S187" i="1"/>
  <c r="T187" i="1"/>
  <c r="R188" i="1"/>
  <c r="S188" i="1"/>
  <c r="T188" i="1"/>
  <c r="R189" i="1"/>
  <c r="S189" i="1"/>
  <c r="T189" i="1"/>
  <c r="R190" i="1"/>
  <c r="S190" i="1"/>
  <c r="T190" i="1"/>
  <c r="R191" i="1"/>
  <c r="S191" i="1"/>
  <c r="T191" i="1"/>
  <c r="R192" i="1"/>
  <c r="S192" i="1"/>
  <c r="T192" i="1"/>
  <c r="R193" i="1"/>
  <c r="S193" i="1"/>
  <c r="T193" i="1"/>
  <c r="R194" i="1"/>
  <c r="S194" i="1"/>
  <c r="T194" i="1"/>
  <c r="R195" i="1"/>
  <c r="S195" i="1"/>
  <c r="T195" i="1"/>
  <c r="R196" i="1"/>
  <c r="S196" i="1"/>
  <c r="T196" i="1"/>
  <c r="R197" i="1"/>
  <c r="S197" i="1"/>
  <c r="T197" i="1"/>
  <c r="R198" i="1"/>
  <c r="S198" i="1"/>
  <c r="T198" i="1"/>
  <c r="R199" i="1"/>
  <c r="S199" i="1"/>
  <c r="T199" i="1"/>
  <c r="R200" i="1"/>
  <c r="S200" i="1"/>
  <c r="T200" i="1"/>
  <c r="R201" i="1"/>
  <c r="S201" i="1"/>
  <c r="T201" i="1"/>
  <c r="R202" i="1"/>
  <c r="S202" i="1"/>
  <c r="T202" i="1"/>
  <c r="R203" i="1"/>
  <c r="S203" i="1"/>
  <c r="T203" i="1"/>
  <c r="R204" i="1"/>
  <c r="S204" i="1"/>
  <c r="T204" i="1"/>
  <c r="R205" i="1"/>
  <c r="S205" i="1"/>
  <c r="T205" i="1"/>
  <c r="R206" i="1"/>
  <c r="S206" i="1"/>
  <c r="T206" i="1"/>
  <c r="R207" i="1"/>
  <c r="S207" i="1"/>
  <c r="T207" i="1"/>
  <c r="R208" i="1"/>
  <c r="S208" i="1"/>
  <c r="T208" i="1"/>
  <c r="R209" i="1"/>
  <c r="S209" i="1"/>
  <c r="T209" i="1"/>
  <c r="R210" i="1"/>
  <c r="S210" i="1"/>
  <c r="T210" i="1"/>
  <c r="R211" i="1"/>
  <c r="S211" i="1"/>
  <c r="T211" i="1"/>
  <c r="R212" i="1"/>
  <c r="S212" i="1"/>
  <c r="T212" i="1"/>
  <c r="R213" i="1"/>
  <c r="S213" i="1"/>
  <c r="T213" i="1"/>
  <c r="R214" i="1"/>
  <c r="S214" i="1"/>
  <c r="T214" i="1"/>
  <c r="R215" i="1"/>
  <c r="S215" i="1"/>
  <c r="T215" i="1"/>
  <c r="R216" i="1"/>
  <c r="S216" i="1"/>
  <c r="T216" i="1"/>
  <c r="R217" i="1"/>
  <c r="S217" i="1"/>
  <c r="T217" i="1"/>
  <c r="R218" i="1"/>
  <c r="S218" i="1"/>
  <c r="T218" i="1"/>
  <c r="R219" i="1"/>
  <c r="S219" i="1"/>
  <c r="T219" i="1"/>
  <c r="R220" i="1"/>
  <c r="S220" i="1"/>
  <c r="T220" i="1"/>
  <c r="R221" i="1"/>
  <c r="S221" i="1"/>
  <c r="T221" i="1"/>
  <c r="R222" i="1"/>
  <c r="S222" i="1"/>
  <c r="T222" i="1"/>
  <c r="R223" i="1"/>
  <c r="S223" i="1"/>
  <c r="T223" i="1"/>
  <c r="R224" i="1"/>
  <c r="S224" i="1"/>
  <c r="T224" i="1"/>
  <c r="R225" i="1"/>
  <c r="S225" i="1"/>
  <c r="T225" i="1"/>
  <c r="R226" i="1"/>
  <c r="S226" i="1"/>
  <c r="T226" i="1"/>
  <c r="R227" i="1"/>
  <c r="S227" i="1"/>
  <c r="T227" i="1"/>
  <c r="R228" i="1"/>
  <c r="S228" i="1"/>
  <c r="T228" i="1"/>
  <c r="R229" i="1"/>
  <c r="S229" i="1"/>
  <c r="T229" i="1"/>
  <c r="R230" i="1"/>
  <c r="S230" i="1"/>
  <c r="T230" i="1"/>
  <c r="R231" i="1"/>
  <c r="S231" i="1"/>
  <c r="T231" i="1"/>
  <c r="R232" i="1"/>
  <c r="S232" i="1"/>
  <c r="T232" i="1"/>
  <c r="R233" i="1"/>
  <c r="S233" i="1"/>
  <c r="T233" i="1"/>
  <c r="R234" i="1"/>
  <c r="S234" i="1"/>
  <c r="T234" i="1"/>
  <c r="R235" i="1"/>
  <c r="S235" i="1"/>
  <c r="T235" i="1"/>
  <c r="R236" i="1"/>
  <c r="S236" i="1"/>
  <c r="T236" i="1"/>
  <c r="R237" i="1"/>
  <c r="S237" i="1"/>
  <c r="T237" i="1"/>
  <c r="R238" i="1"/>
  <c r="S238" i="1"/>
  <c r="T238" i="1"/>
  <c r="R239" i="1"/>
  <c r="S239" i="1"/>
  <c r="T239" i="1"/>
  <c r="R240" i="1"/>
  <c r="S240" i="1"/>
  <c r="T240" i="1"/>
  <c r="R241" i="1"/>
  <c r="S241" i="1"/>
  <c r="T241" i="1"/>
  <c r="R242" i="1"/>
  <c r="S242" i="1"/>
  <c r="T242" i="1"/>
  <c r="R243" i="1"/>
  <c r="S243" i="1"/>
  <c r="T243" i="1"/>
  <c r="R244" i="1"/>
  <c r="S244" i="1"/>
  <c r="T244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AE3" i="1"/>
  <c r="N3" i="1"/>
  <c r="BY3" i="1"/>
  <c r="BX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3" i="1"/>
  <c r="BZ3" i="1" l="1"/>
  <c r="BZ243" i="1"/>
  <c r="BZ195" i="1"/>
  <c r="BZ179" i="1"/>
  <c r="BZ131" i="1"/>
  <c r="BZ115" i="1"/>
  <c r="BZ67" i="1"/>
  <c r="BZ51" i="1"/>
  <c r="BZ237" i="1"/>
  <c r="BZ197" i="1"/>
  <c r="BZ165" i="1"/>
  <c r="BZ125" i="1"/>
  <c r="BZ101" i="1"/>
  <c r="BZ61" i="1"/>
  <c r="BZ29" i="1"/>
  <c r="BZ244" i="1"/>
  <c r="BZ236" i="1"/>
  <c r="BZ228" i="1"/>
  <c r="BZ220" i="1"/>
  <c r="BZ212" i="1"/>
  <c r="BZ204" i="1"/>
  <c r="BZ196" i="1"/>
  <c r="BZ188" i="1"/>
  <c r="BZ180" i="1"/>
  <c r="BZ172" i="1"/>
  <c r="BZ164" i="1"/>
  <c r="BZ156" i="1"/>
  <c r="BZ148" i="1"/>
  <c r="BZ140" i="1"/>
  <c r="BZ132" i="1"/>
  <c r="BZ124" i="1"/>
  <c r="BZ116" i="1"/>
  <c r="BZ108" i="1"/>
  <c r="BZ100" i="1"/>
  <c r="BZ92" i="1"/>
  <c r="BZ84" i="1"/>
  <c r="BZ76" i="1"/>
  <c r="BZ68" i="1"/>
  <c r="BZ60" i="1"/>
  <c r="BZ52" i="1"/>
  <c r="BZ44" i="1"/>
  <c r="BZ36" i="1"/>
  <c r="BZ28" i="1"/>
  <c r="BZ20" i="1"/>
  <c r="BZ12" i="1"/>
  <c r="BZ221" i="1"/>
  <c r="BZ189" i="1"/>
  <c r="BZ149" i="1"/>
  <c r="BZ117" i="1"/>
  <c r="BZ77" i="1"/>
  <c r="BZ45" i="1"/>
  <c r="BZ13" i="1"/>
  <c r="BZ235" i="1"/>
  <c r="BZ227" i="1"/>
  <c r="BZ219" i="1"/>
  <c r="BZ211" i="1"/>
  <c r="BZ203" i="1"/>
  <c r="BZ187" i="1"/>
  <c r="BZ171" i="1"/>
  <c r="BZ163" i="1"/>
  <c r="BZ155" i="1"/>
  <c r="BZ147" i="1"/>
  <c r="BZ139" i="1"/>
  <c r="BZ123" i="1"/>
  <c r="BZ107" i="1"/>
  <c r="BZ99" i="1"/>
  <c r="BZ91" i="1"/>
  <c r="BZ83" i="1"/>
  <c r="BZ75" i="1"/>
  <c r="BZ59" i="1"/>
  <c r="BZ43" i="1"/>
  <c r="BZ35" i="1"/>
  <c r="BZ27" i="1"/>
  <c r="BZ19" i="1"/>
  <c r="BZ11" i="1"/>
  <c r="BZ205" i="1"/>
  <c r="BZ173" i="1"/>
  <c r="BZ133" i="1"/>
  <c r="BZ93" i="1"/>
  <c r="BZ69" i="1"/>
  <c r="BZ21" i="1"/>
  <c r="BZ242" i="1"/>
  <c r="BZ194" i="1"/>
  <c r="BZ162" i="1"/>
  <c r="BZ130" i="1"/>
  <c r="BZ98" i="1"/>
  <c r="BZ66" i="1"/>
  <c r="BZ26" i="1"/>
  <c r="BZ241" i="1"/>
  <c r="BZ233" i="1"/>
  <c r="BZ225" i="1"/>
  <c r="BZ217" i="1"/>
  <c r="BZ209" i="1"/>
  <c r="BZ201" i="1"/>
  <c r="BZ193" i="1"/>
  <c r="BZ185" i="1"/>
  <c r="BZ177" i="1"/>
  <c r="BZ169" i="1"/>
  <c r="BZ161" i="1"/>
  <c r="BZ153" i="1"/>
  <c r="BZ145" i="1"/>
  <c r="BZ137" i="1"/>
  <c r="BZ129" i="1"/>
  <c r="BZ121" i="1"/>
  <c r="BZ113" i="1"/>
  <c r="BZ105" i="1"/>
  <c r="BZ97" i="1"/>
  <c r="BZ89" i="1"/>
  <c r="BZ81" i="1"/>
  <c r="BZ73" i="1"/>
  <c r="BZ65" i="1"/>
  <c r="BZ57" i="1"/>
  <c r="BZ49" i="1"/>
  <c r="BZ41" i="1"/>
  <c r="BZ33" i="1"/>
  <c r="BZ25" i="1"/>
  <c r="BZ17" i="1"/>
  <c r="BZ9" i="1"/>
  <c r="BZ229" i="1"/>
  <c r="BZ141" i="1"/>
  <c r="BZ37" i="1"/>
  <c r="BZ226" i="1"/>
  <c r="BZ202" i="1"/>
  <c r="BZ170" i="1"/>
  <c r="BZ138" i="1"/>
  <c r="BZ114" i="1"/>
  <c r="BZ82" i="1"/>
  <c r="BZ58" i="1"/>
  <c r="BZ34" i="1"/>
  <c r="BZ240" i="1"/>
  <c r="BZ232" i="1"/>
  <c r="BZ224" i="1"/>
  <c r="BZ216" i="1"/>
  <c r="BZ208" i="1"/>
  <c r="BZ200" i="1"/>
  <c r="BZ192" i="1"/>
  <c r="BZ184" i="1"/>
  <c r="BZ176" i="1"/>
  <c r="BZ168" i="1"/>
  <c r="BZ160" i="1"/>
  <c r="BZ152" i="1"/>
  <c r="BZ144" i="1"/>
  <c r="BZ136" i="1"/>
  <c r="BZ128" i="1"/>
  <c r="BZ120" i="1"/>
  <c r="BZ112" i="1"/>
  <c r="BZ104" i="1"/>
  <c r="BZ96" i="1"/>
  <c r="BZ88" i="1"/>
  <c r="BZ80" i="1"/>
  <c r="BZ72" i="1"/>
  <c r="BZ64" i="1"/>
  <c r="BZ56" i="1"/>
  <c r="BZ48" i="1"/>
  <c r="BZ40" i="1"/>
  <c r="BZ32" i="1"/>
  <c r="BZ24" i="1"/>
  <c r="BZ16" i="1"/>
  <c r="BZ8" i="1"/>
  <c r="BZ234" i="1"/>
  <c r="BZ210" i="1"/>
  <c r="BZ178" i="1"/>
  <c r="BZ154" i="1"/>
  <c r="BZ122" i="1"/>
  <c r="BZ90" i="1"/>
  <c r="BZ50" i="1"/>
  <c r="BZ18" i="1"/>
  <c r="BZ239" i="1"/>
  <c r="BZ231" i="1"/>
  <c r="BZ223" i="1"/>
  <c r="BZ215" i="1"/>
  <c r="BZ207" i="1"/>
  <c r="BZ199" i="1"/>
  <c r="BZ191" i="1"/>
  <c r="BZ183" i="1"/>
  <c r="BZ175" i="1"/>
  <c r="BZ167" i="1"/>
  <c r="BZ159" i="1"/>
  <c r="BZ151" i="1"/>
  <c r="BZ143" i="1"/>
  <c r="BZ135" i="1"/>
  <c r="BZ127" i="1"/>
  <c r="BZ119" i="1"/>
  <c r="BZ111" i="1"/>
  <c r="BZ103" i="1"/>
  <c r="BZ95" i="1"/>
  <c r="BZ87" i="1"/>
  <c r="BZ79" i="1"/>
  <c r="BZ71" i="1"/>
  <c r="BZ63" i="1"/>
  <c r="BZ55" i="1"/>
  <c r="BZ47" i="1"/>
  <c r="BZ39" i="1"/>
  <c r="BZ31" i="1"/>
  <c r="BZ23" i="1"/>
  <c r="BZ15" i="1"/>
  <c r="BZ7" i="1"/>
  <c r="BZ213" i="1"/>
  <c r="BZ181" i="1"/>
  <c r="BZ157" i="1"/>
  <c r="BZ109" i="1"/>
  <c r="BZ85" i="1"/>
  <c r="BZ53" i="1"/>
  <c r="BZ5" i="1"/>
  <c r="BZ218" i="1"/>
  <c r="BZ186" i="1"/>
  <c r="BZ146" i="1"/>
  <c r="BZ106" i="1"/>
  <c r="BZ74" i="1"/>
  <c r="BZ42" i="1"/>
  <c r="BZ10" i="1"/>
  <c r="BZ238" i="1"/>
  <c r="BZ230" i="1"/>
  <c r="BZ222" i="1"/>
  <c r="BZ214" i="1"/>
  <c r="BZ206" i="1"/>
  <c r="BZ198" i="1"/>
  <c r="BZ190" i="1"/>
  <c r="BZ182" i="1"/>
  <c r="BZ174" i="1"/>
  <c r="BZ166" i="1"/>
  <c r="BZ158" i="1"/>
  <c r="BZ150" i="1"/>
  <c r="BZ142" i="1"/>
  <c r="BZ134" i="1"/>
  <c r="BZ126" i="1"/>
  <c r="BZ118" i="1"/>
  <c r="BZ110" i="1"/>
  <c r="BZ102" i="1"/>
  <c r="BZ94" i="1"/>
  <c r="BZ86" i="1"/>
  <c r="BZ78" i="1"/>
  <c r="BZ70" i="1"/>
  <c r="BZ62" i="1"/>
  <c r="BZ54" i="1"/>
  <c r="BZ46" i="1"/>
  <c r="BZ38" i="1"/>
  <c r="BZ30" i="1"/>
  <c r="BZ22" i="1"/>
  <c r="BZ14" i="1"/>
  <c r="BZ6" i="1"/>
</calcChain>
</file>

<file path=xl/sharedStrings.xml><?xml version="1.0" encoding="utf-8"?>
<sst xmlns="http://schemas.openxmlformats.org/spreadsheetml/2006/main" count="146" uniqueCount="146">
  <si>
    <t>[D237]</t>
  </si>
  <si>
    <t>[D215]</t>
  </si>
  <si>
    <t>[D466]</t>
  </si>
  <si>
    <t>[D590]</t>
  </si>
  <si>
    <t>[D237^2]</t>
  </si>
  <si>
    <t>[D237 x D215]</t>
  </si>
  <si>
    <t>[D237 x D466]</t>
  </si>
  <si>
    <t>[D237 x D590]</t>
  </si>
  <si>
    <t>[D215^2]</t>
  </si>
  <si>
    <t>[D215 x D466]</t>
  </si>
  <si>
    <t>[D215 x D590]</t>
  </si>
  <si>
    <t>[D466^2]</t>
  </si>
  <si>
    <t>[D466 x D590]</t>
  </si>
  <si>
    <t>[D590^2]</t>
  </si>
  <si>
    <t>[D237^3]</t>
  </si>
  <si>
    <t>[D237^2 x D215]</t>
  </si>
  <si>
    <t>[D237^2 x D466]</t>
  </si>
  <si>
    <t>[D237^2 x D590]</t>
  </si>
  <si>
    <t>[D237 x D215^2]</t>
  </si>
  <si>
    <t>[D237 x D215 x D466]</t>
  </si>
  <si>
    <t>[D237 x D215 x D590]</t>
  </si>
  <si>
    <t>[D237 x D466^2]</t>
  </si>
  <si>
    <t>[D237 x D466 x D590]</t>
  </si>
  <si>
    <t>[D237 x D590^2]</t>
  </si>
  <si>
    <t>[D215^3]</t>
  </si>
  <si>
    <t>[D215^2 x D466]</t>
  </si>
  <si>
    <t>[D215^2 x D590]</t>
  </si>
  <si>
    <t>[D215 x D466^2]</t>
  </si>
  <si>
    <t>[D215 x D466 x D590]</t>
  </si>
  <si>
    <t>[D215 x D590^2]</t>
  </si>
  <si>
    <t>[D466^3]</t>
  </si>
  <si>
    <t>[D466^2 x D590]</t>
  </si>
  <si>
    <t>[D466 x D590^2]</t>
  </si>
  <si>
    <t>[D590^3]</t>
  </si>
  <si>
    <t>[D237^4]</t>
  </si>
  <si>
    <t>[D237^3 x D215]</t>
  </si>
  <si>
    <t>[D237^3 x D466]</t>
  </si>
  <si>
    <t>[D237^3 x D590]</t>
  </si>
  <si>
    <t>[D237^2 x D215^2]</t>
  </si>
  <si>
    <t>[D237^2 x D215 x D466]</t>
  </si>
  <si>
    <t>[D237^2 x D215 x D590]</t>
  </si>
  <si>
    <t>[D237^2 x D466^2]</t>
  </si>
  <si>
    <t>[D237^2 x D466 x D590]</t>
  </si>
  <si>
    <t>[D237^2 x D590^2]</t>
  </si>
  <si>
    <t>[D237 x D215^3]</t>
  </si>
  <si>
    <t>[D237 x D215^2 x D466]</t>
  </si>
  <si>
    <t>[D237 x D215^2 x D590]</t>
  </si>
  <si>
    <t>[D237 x D215 x D466^2]</t>
  </si>
  <si>
    <t>[D237 x D215 x D466 x D590]</t>
  </si>
  <si>
    <t>[D237 x D215 x D590^2]</t>
  </si>
  <si>
    <t>[D237 x D466^3]</t>
  </si>
  <si>
    <t>[D237 x D466^2 x D590]</t>
  </si>
  <si>
    <t>[D237 x D466 x D590^2]</t>
  </si>
  <si>
    <t>[D237 x D590^3]</t>
  </si>
  <si>
    <t>[D215^4]</t>
  </si>
  <si>
    <t>[D215^3 x D466]</t>
  </si>
  <si>
    <t>[D215^3 x D590]</t>
  </si>
  <si>
    <t>[D215^2 x D466^2]</t>
  </si>
  <si>
    <t>[D215^2 x D466 x D590]</t>
  </si>
  <si>
    <t>[D215^2 x D590^2]</t>
  </si>
  <si>
    <t>[D215 x D466^3]</t>
  </si>
  <si>
    <t>[D215 x D466^2 x D590]</t>
  </si>
  <si>
    <t>[D215 x D466 x D590^2]</t>
  </si>
  <si>
    <t>[D215 x D590^3]</t>
  </si>
  <si>
    <t>[D466^4]</t>
  </si>
  <si>
    <t>[D466^3 x D590]</t>
  </si>
  <si>
    <t>[D466^2 x D590^2]</t>
  </si>
  <si>
    <t>[D466 x D590^3]</t>
  </si>
  <si>
    <t>[D590^4]</t>
  </si>
  <si>
    <t>N</t>
  </si>
  <si>
    <t>PubChem CID</t>
  </si>
  <si>
    <t>D237</t>
  </si>
  <si>
    <t>D215</t>
  </si>
  <si>
    <t>D466</t>
  </si>
  <si>
    <t>D590</t>
  </si>
  <si>
    <t>4.64128021e+01</t>
  </si>
  <si>
    <t>-4.92128261e+02</t>
  </si>
  <si>
    <t>2.36882660e+03</t>
  </si>
  <si>
    <t>3.23150612e+03</t>
  </si>
  <si>
    <t>-6.88301080e+01</t>
  </si>
  <si>
    <t>-3.83424790e+01</t>
  </si>
  <si>
    <t>-1.20009575e+01</t>
  </si>
  <si>
    <t>1.80956586e+02</t>
  </si>
  <si>
    <t>4.23104367e+02</t>
  </si>
  <si>
    <t>-4.15070726e+02</t>
  </si>
  <si>
    <t>-2.05601531e+03</t>
  </si>
  <si>
    <t>-1.48669770e+03</t>
  </si>
  <si>
    <t>-3.61869750e-02</t>
  </si>
  <si>
    <t>1.32688249e-01</t>
  </si>
  <si>
    <t>5.94787395e-01</t>
  </si>
  <si>
    <t>-2.62267181e+00</t>
  </si>
  <si>
    <t>2.32337951e-01</t>
  </si>
  <si>
    <t>-1.07757855e+01</t>
  </si>
  <si>
    <t>3.47068768e-02</t>
  </si>
  <si>
    <t>8.20481142e+01</t>
  </si>
  <si>
    <t>1.99083183e+01</t>
  </si>
  <si>
    <t>1.19456529e+01</t>
  </si>
  <si>
    <t>-4.32916836e-01</t>
  </si>
  <si>
    <t>1.58013058e+01</t>
  </si>
  <si>
    <t>4.82025565e+00</t>
  </si>
  <si>
    <t>-1.47019288e+01</t>
  </si>
  <si>
    <t>-1.24160012e+02</t>
  </si>
  <si>
    <t>-1.16611812e+02</t>
  </si>
  <si>
    <t>-3.01019188e+02</t>
  </si>
  <si>
    <t>3.23373971e+02</t>
  </si>
  <si>
    <t>5.97784652e+02</t>
  </si>
  <si>
    <t>2.99477768e+02</t>
  </si>
  <si>
    <t>7.37986420e-05</t>
  </si>
  <si>
    <t>-1.37054303e-03</t>
  </si>
  <si>
    <t>3.28100883e-04</t>
  </si>
  <si>
    <t>1.32745566e-02</t>
  </si>
  <si>
    <t>4.06959907e-03</t>
  </si>
  <si>
    <t>-2.99687387e-04</t>
  </si>
  <si>
    <t>-4.85443269e-02</t>
  </si>
  <si>
    <t>-1.29464048e+00</t>
  </si>
  <si>
    <t>3.94568526e-01</t>
  </si>
  <si>
    <t>3.78440393e-01</t>
  </si>
  <si>
    <t>-8.64625100e-04</t>
  </si>
  <si>
    <t>-2.54397242e-01</t>
  </si>
  <si>
    <t>-1.88761594e-02</t>
  </si>
  <si>
    <t>5.01771654e+00</t>
  </si>
  <si>
    <t>1.88435043e+00</t>
  </si>
  <si>
    <t>-1.76895415e-01</t>
  </si>
  <si>
    <t>-9.59534147e+00</t>
  </si>
  <si>
    <t>-2.15677374e+01</t>
  </si>
  <si>
    <t>-3.69682623e-01</t>
  </si>
  <si>
    <t>-1.29614468e+00</t>
  </si>
  <si>
    <t>6.07503197e-04</t>
  </si>
  <si>
    <t>2.17590239e-01</t>
  </si>
  <si>
    <t>6.69608098e-02</t>
  </si>
  <si>
    <t>-2.87263356e+00</t>
  </si>
  <si>
    <t>-3.92981616e+00</t>
  </si>
  <si>
    <t>-3.37954693e-01</t>
  </si>
  <si>
    <t>-2.12192781e+01</t>
  </si>
  <si>
    <t>1.60386698e+01</t>
  </si>
  <si>
    <t>1.85244204e+01</t>
  </si>
  <si>
    <t>1.03053126e+01</t>
  </si>
  <si>
    <t>4.65510168e+01</t>
  </si>
  <si>
    <t>1.00572820e+02</t>
  </si>
  <si>
    <t>-7.19503864e+01</t>
  </si>
  <si>
    <t>-5.55536564e+01</t>
  </si>
  <si>
    <t>-2.22857711e+01</t>
  </si>
  <si>
    <t>Intercept</t>
  </si>
  <si>
    <t>Calculated by the model</t>
  </si>
  <si>
    <t>Calculated by the equation</t>
  </si>
  <si>
    <t>Coefficients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</si>
</sst>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5" fillId="0" borderId="0" xfId="0" applyNumberFormat="1" applyFont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44"/>
  <sheetViews>
    <sheetView tabSelected="1" zoomScale="130" zoomScaleNormal="130" workbookViewId="0">
      <selection activeCell="BZ1" sqref="BZ1:BZ1048576"/>
    </sheetView>
  </sheetViews>
  <sheetFormatPr defaultRowHeight="14.4" x14ac:dyDescent="0.3"/>
  <cols>
    <col min="1" max="1" width="8.88671875" style="4"/>
    <col min="2" max="2" width="15.88671875" style="4" customWidth="1"/>
    <col min="3" max="6" width="8.88671875" style="4"/>
    <col min="7" max="7" width="15.6640625" style="4" customWidth="1"/>
    <col min="8" max="8" width="16.88671875" style="4" customWidth="1"/>
    <col min="9" max="9" width="14.6640625" style="4" bestFit="1" customWidth="1"/>
    <col min="10" max="10" width="11.33203125" style="4" customWidth="1"/>
    <col min="11" max="11" width="8.88671875" style="4"/>
    <col min="12" max="12" width="14" style="4" customWidth="1"/>
    <col min="13" max="13" width="10.5546875" style="4" customWidth="1"/>
    <col min="14" max="14" width="15.5546875" style="4" customWidth="1"/>
    <col min="15" max="15" width="13.6640625" style="4" customWidth="1"/>
    <col min="16" max="16" width="13.109375" style="4" customWidth="1"/>
    <col min="17" max="17" width="14.33203125" style="4" customWidth="1"/>
    <col min="18" max="18" width="15.44140625" style="4" customWidth="1"/>
    <col min="19" max="20" width="13.88671875" style="4" customWidth="1"/>
    <col min="21" max="21" width="17.33203125" style="4" customWidth="1"/>
    <col min="22" max="22" width="14.33203125" style="4" customWidth="1"/>
    <col min="23" max="23" width="14.6640625" style="4" customWidth="1"/>
    <col min="24" max="24" width="16.33203125" style="4" customWidth="1"/>
    <col min="25" max="26" width="18.44140625" style="4" customWidth="1"/>
    <col min="27" max="27" width="17.33203125" style="4" customWidth="1"/>
    <col min="28" max="28" width="22.6640625" style="4" customWidth="1"/>
    <col min="29" max="29" width="19.33203125" style="4" customWidth="1"/>
    <col min="30" max="30" width="22.88671875" style="4" customWidth="1"/>
    <col min="31" max="31" width="21.44140625" style="4" customWidth="1"/>
    <col min="32" max="32" width="18.6640625" style="4" customWidth="1"/>
    <col min="33" max="33" width="19.33203125" style="4" customWidth="1"/>
    <col min="34" max="34" width="21" style="4" customWidth="1"/>
    <col min="35" max="35" width="19.88671875" style="4" customWidth="1"/>
    <col min="36" max="36" width="17.88671875" style="4" customWidth="1"/>
    <col min="37" max="37" width="19.5546875" style="4" customWidth="1"/>
    <col min="38" max="38" width="18.44140625" style="4" customWidth="1"/>
    <col min="39" max="39" width="19.88671875" style="4" customWidth="1"/>
    <col min="40" max="40" width="18.33203125" style="4" customWidth="1"/>
    <col min="41" max="41" width="21.109375" style="4" customWidth="1"/>
    <col min="42" max="42" width="19.33203125" style="4" customWidth="1"/>
    <col min="43" max="43" width="22.88671875" style="4" customWidth="1"/>
    <col min="44" max="44" width="17.44140625" style="4" customWidth="1"/>
    <col min="45" max="45" width="19.88671875" style="4" customWidth="1"/>
    <col min="46" max="46" width="22.6640625" style="4" customWidth="1"/>
    <col min="47" max="47" width="19.44140625" style="4" customWidth="1"/>
    <col min="48" max="48" width="22.6640625" style="4" customWidth="1"/>
    <col min="49" max="49" width="22.44140625" style="4" customWidth="1"/>
    <col min="50" max="50" width="20.109375" style="4" customWidth="1"/>
    <col min="51" max="51" width="24.88671875" style="4" customWidth="1"/>
    <col min="52" max="52" width="19.88671875" style="4" customWidth="1"/>
    <col min="53" max="53" width="20.33203125" style="4" customWidth="1"/>
    <col min="54" max="54" width="21.44140625" style="4" customWidth="1"/>
    <col min="55" max="55" width="21.88671875" style="4" customWidth="1"/>
    <col min="56" max="56" width="21.5546875" style="4" customWidth="1"/>
    <col min="57" max="57" width="26.33203125" style="4" customWidth="1"/>
    <col min="58" max="58" width="23.33203125" style="4" customWidth="1"/>
    <col min="59" max="59" width="20.5546875" style="4" customWidth="1"/>
    <col min="60" max="60" width="21.44140625" style="4" customWidth="1"/>
    <col min="61" max="61" width="24" style="4" customWidth="1"/>
    <col min="62" max="62" width="17.88671875" style="4" customWidth="1"/>
    <col min="63" max="63" width="17.109375" style="4" customWidth="1"/>
    <col min="64" max="64" width="17.6640625" style="4" customWidth="1"/>
    <col min="65" max="66" width="21.33203125" style="4" customWidth="1"/>
    <col min="67" max="67" width="23.6640625" style="4" customWidth="1"/>
    <col min="68" max="68" width="20.6640625" style="4" customWidth="1"/>
    <col min="69" max="69" width="17.6640625" style="4" customWidth="1"/>
    <col min="70" max="70" width="21.33203125" style="4" customWidth="1"/>
    <col min="71" max="71" width="22.6640625" style="4" customWidth="1"/>
    <col min="72" max="72" width="20" style="4" customWidth="1"/>
    <col min="73" max="73" width="19.6640625" style="4" customWidth="1"/>
    <col min="74" max="74" width="19.33203125" style="4" customWidth="1"/>
    <col min="75" max="75" width="20.6640625" style="4" customWidth="1"/>
    <col min="76" max="76" width="16.6640625" style="4" customWidth="1"/>
    <col min="77" max="77" width="19.5546875" style="4" customWidth="1"/>
    <col min="78" max="78" width="25.33203125" style="7" customWidth="1"/>
    <col min="79" max="79" width="9.5546875" bestFit="1" customWidth="1"/>
    <col min="80" max="80" width="22.33203125" customWidth="1"/>
    <col min="81" max="81" width="10.5546875" bestFit="1" customWidth="1"/>
  </cols>
  <sheetData>
    <row r="1" spans="1:81" s="4" customFormat="1" ht="14.4" customHeight="1" x14ac:dyDescent="0.3">
      <c r="A1" s="10" t="s">
        <v>145</v>
      </c>
      <c r="B1" s="11"/>
      <c r="C1" s="11"/>
      <c r="D1" s="11"/>
      <c r="E1" s="11"/>
      <c r="F1" s="11"/>
      <c r="G1" s="11"/>
      <c r="H1" s="11"/>
      <c r="I1" s="4" t="s">
        <v>75</v>
      </c>
      <c r="J1" s="4" t="s">
        <v>76</v>
      </c>
      <c r="K1" s="4" t="s">
        <v>77</v>
      </c>
      <c r="L1" s="4" t="s">
        <v>78</v>
      </c>
      <c r="M1" s="8">
        <v>3.8638608200000002</v>
      </c>
      <c r="N1" s="8">
        <v>2.5297132699999998</v>
      </c>
      <c r="O1" s="4" t="s">
        <v>79</v>
      </c>
      <c r="P1" s="4" t="s">
        <v>80</v>
      </c>
      <c r="Q1" s="4" t="s">
        <v>81</v>
      </c>
      <c r="R1" s="4" t="s">
        <v>82</v>
      </c>
      <c r="S1" s="4" t="s">
        <v>83</v>
      </c>
      <c r="T1" s="4" t="s">
        <v>84</v>
      </c>
      <c r="U1" s="4" t="s">
        <v>85</v>
      </c>
      <c r="V1" s="4" t="s">
        <v>86</v>
      </c>
      <c r="W1" s="4" t="s">
        <v>87</v>
      </c>
      <c r="X1" s="4" t="s">
        <v>88</v>
      </c>
      <c r="Y1" s="4" t="s">
        <v>89</v>
      </c>
      <c r="Z1" s="4" t="s">
        <v>90</v>
      </c>
      <c r="AA1" s="4" t="s">
        <v>91</v>
      </c>
      <c r="AB1" s="4" t="s">
        <v>92</v>
      </c>
      <c r="AC1" s="4" t="s">
        <v>93</v>
      </c>
      <c r="AD1" s="4" t="s">
        <v>94</v>
      </c>
      <c r="AE1" s="4" t="s">
        <v>95</v>
      </c>
      <c r="AF1" s="4" t="s">
        <v>96</v>
      </c>
      <c r="AG1" s="4" t="s">
        <v>97</v>
      </c>
      <c r="AH1" s="4" t="s">
        <v>98</v>
      </c>
      <c r="AI1" s="4" t="s">
        <v>99</v>
      </c>
      <c r="AJ1" s="4" t="s">
        <v>100</v>
      </c>
      <c r="AK1" s="4" t="s">
        <v>101</v>
      </c>
      <c r="AL1" s="4" t="s">
        <v>102</v>
      </c>
      <c r="AM1" s="4" t="s">
        <v>103</v>
      </c>
      <c r="AN1" s="4" t="s">
        <v>104</v>
      </c>
      <c r="AO1" s="4" t="s">
        <v>105</v>
      </c>
      <c r="AP1" s="4" t="s">
        <v>106</v>
      </c>
      <c r="AQ1" s="4" t="s">
        <v>107</v>
      </c>
      <c r="AR1" s="4" t="s">
        <v>108</v>
      </c>
      <c r="AS1" s="4" t="s">
        <v>109</v>
      </c>
      <c r="AT1" s="4" t="s">
        <v>110</v>
      </c>
      <c r="AU1" s="4" t="s">
        <v>111</v>
      </c>
      <c r="AV1" s="4" t="s">
        <v>112</v>
      </c>
      <c r="AW1" s="4" t="s">
        <v>113</v>
      </c>
      <c r="AX1" s="4" t="s">
        <v>114</v>
      </c>
      <c r="AY1" s="4" t="s">
        <v>115</v>
      </c>
      <c r="AZ1" s="4" t="s">
        <v>116</v>
      </c>
      <c r="BA1" s="4" t="s">
        <v>117</v>
      </c>
      <c r="BB1" s="4" t="s">
        <v>118</v>
      </c>
      <c r="BC1" s="4" t="s">
        <v>119</v>
      </c>
      <c r="BD1" s="4" t="s">
        <v>120</v>
      </c>
      <c r="BE1" s="4" t="s">
        <v>121</v>
      </c>
      <c r="BF1" s="4" t="s">
        <v>122</v>
      </c>
      <c r="BG1" s="4" t="s">
        <v>123</v>
      </c>
      <c r="BH1" s="4" t="s">
        <v>124</v>
      </c>
      <c r="BI1" s="4" t="s">
        <v>125</v>
      </c>
      <c r="BJ1" s="4" t="s">
        <v>126</v>
      </c>
      <c r="BK1" s="4" t="s">
        <v>127</v>
      </c>
      <c r="BL1" s="4" t="s">
        <v>128</v>
      </c>
      <c r="BM1" s="4" t="s">
        <v>129</v>
      </c>
      <c r="BN1" s="4" t="s">
        <v>130</v>
      </c>
      <c r="BO1" s="4" t="s">
        <v>131</v>
      </c>
      <c r="BP1" s="4" t="s">
        <v>132</v>
      </c>
      <c r="BQ1" s="4" t="s">
        <v>133</v>
      </c>
      <c r="BR1" s="4" t="s">
        <v>134</v>
      </c>
      <c r="BS1" s="4" t="s">
        <v>135</v>
      </c>
      <c r="BT1" s="4" t="s">
        <v>136</v>
      </c>
      <c r="BU1" s="4" t="s">
        <v>137</v>
      </c>
      <c r="BV1" s="4" t="s">
        <v>138</v>
      </c>
      <c r="BW1" s="4" t="s">
        <v>139</v>
      </c>
      <c r="BX1" s="4" t="s">
        <v>140</v>
      </c>
      <c r="BY1" s="4" t="s">
        <v>141</v>
      </c>
      <c r="BZ1" s="6"/>
    </row>
    <row r="2" spans="1:81" x14ac:dyDescent="0.3">
      <c r="A2" s="2" t="s">
        <v>69</v>
      </c>
      <c r="B2" s="3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9"/>
      <c r="H2" s="2" t="s">
        <v>142</v>
      </c>
      <c r="I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13</v>
      </c>
      <c r="W2" s="1" t="s">
        <v>14</v>
      </c>
      <c r="X2" s="1" t="s">
        <v>15</v>
      </c>
      <c r="Y2" s="1" t="s">
        <v>16</v>
      </c>
      <c r="Z2" s="1" t="s">
        <v>17</v>
      </c>
      <c r="AA2" s="1" t="s">
        <v>18</v>
      </c>
      <c r="AB2" s="1" t="s">
        <v>19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1" t="s">
        <v>27</v>
      </c>
      <c r="AK2" s="1" t="s">
        <v>28</v>
      </c>
      <c r="AL2" s="1" t="s">
        <v>29</v>
      </c>
      <c r="AM2" s="1" t="s">
        <v>30</v>
      </c>
      <c r="AN2" s="1" t="s">
        <v>31</v>
      </c>
      <c r="AO2" s="1" t="s">
        <v>32</v>
      </c>
      <c r="AP2" s="1" t="s">
        <v>33</v>
      </c>
      <c r="AQ2" s="1" t="s">
        <v>34</v>
      </c>
      <c r="AR2" s="1" t="s">
        <v>35</v>
      </c>
      <c r="AS2" s="1" t="s">
        <v>36</v>
      </c>
      <c r="AT2" s="1" t="s">
        <v>37</v>
      </c>
      <c r="AU2" s="1" t="s">
        <v>38</v>
      </c>
      <c r="AV2" s="1" t="s">
        <v>39</v>
      </c>
      <c r="AW2" s="1" t="s">
        <v>40</v>
      </c>
      <c r="AX2" s="1" t="s">
        <v>41</v>
      </c>
      <c r="AY2" s="1" t="s">
        <v>42</v>
      </c>
      <c r="AZ2" s="1" t="s">
        <v>43</v>
      </c>
      <c r="BA2" s="1" t="s">
        <v>44</v>
      </c>
      <c r="BB2" s="1" t="s">
        <v>45</v>
      </c>
      <c r="BC2" s="1" t="s">
        <v>46</v>
      </c>
      <c r="BD2" s="1" t="s">
        <v>47</v>
      </c>
      <c r="BE2" s="1" t="s">
        <v>48</v>
      </c>
      <c r="BF2" s="1" t="s">
        <v>49</v>
      </c>
      <c r="BG2" s="1" t="s">
        <v>50</v>
      </c>
      <c r="BH2" s="1" t="s">
        <v>51</v>
      </c>
      <c r="BI2" s="1" t="s">
        <v>52</v>
      </c>
      <c r="BJ2" s="1" t="s">
        <v>53</v>
      </c>
      <c r="BK2" s="1" t="s">
        <v>54</v>
      </c>
      <c r="BL2" s="1" t="s">
        <v>55</v>
      </c>
      <c r="BM2" s="1" t="s">
        <v>56</v>
      </c>
      <c r="BN2" s="1" t="s">
        <v>57</v>
      </c>
      <c r="BO2" s="1" t="s">
        <v>58</v>
      </c>
      <c r="BP2" s="1" t="s">
        <v>59</v>
      </c>
      <c r="BQ2" s="1" t="s">
        <v>60</v>
      </c>
      <c r="BR2" s="1" t="s">
        <v>61</v>
      </c>
      <c r="BS2" s="1" t="s">
        <v>62</v>
      </c>
      <c r="BT2" s="1" t="s">
        <v>63</v>
      </c>
      <c r="BU2" s="1" t="s">
        <v>64</v>
      </c>
      <c r="BV2" s="1" t="s">
        <v>65</v>
      </c>
      <c r="BW2" s="1" t="s">
        <v>66</v>
      </c>
      <c r="BX2" s="1" t="s">
        <v>67</v>
      </c>
      <c r="BY2" s="1" t="s">
        <v>68</v>
      </c>
      <c r="BZ2" s="12" t="s">
        <v>144</v>
      </c>
      <c r="CB2" s="5" t="s">
        <v>143</v>
      </c>
      <c r="CC2" s="5"/>
    </row>
    <row r="3" spans="1:81" x14ac:dyDescent="0.3">
      <c r="A3" s="4">
        <v>1</v>
      </c>
      <c r="B3" s="4">
        <v>122187934</v>
      </c>
      <c r="C3" s="4">
        <v>6.8</v>
      </c>
      <c r="D3" s="4">
        <v>5.2889999999999997</v>
      </c>
      <c r="E3" s="4">
        <v>0.35799999999999998</v>
      </c>
      <c r="F3" s="4">
        <v>3.278</v>
      </c>
      <c r="H3" s="6">
        <v>-2618.81325553337</v>
      </c>
      <c r="I3" s="4">
        <f t="shared" ref="I3:I66" si="0">$I$1*C3</f>
        <v>315.60705428</v>
      </c>
      <c r="J3" s="4">
        <f t="shared" ref="J3:J66" si="1">$J$1*D3</f>
        <v>-2602.866372429</v>
      </c>
      <c r="K3" s="4">
        <f t="shared" ref="K3:K66" si="2">$K$1*E3</f>
        <v>848.03992279999989</v>
      </c>
      <c r="L3" s="4">
        <f t="shared" ref="L3:L66" si="3">$L$1*F3</f>
        <v>10592.877061360001</v>
      </c>
      <c r="M3" s="4">
        <f t="shared" ref="M3:M66" si="4">$M$1*C3^2</f>
        <v>178.66492431679998</v>
      </c>
      <c r="N3" s="4">
        <f t="shared" ref="N3:N66" si="5">$N$1*C3*D3</f>
        <v>90.981643698203982</v>
      </c>
      <c r="O3" s="4">
        <f t="shared" ref="O3:O66" si="6">$O$1*C3*E3</f>
        <v>-167.56001491519999</v>
      </c>
      <c r="P3" s="4">
        <f t="shared" ref="P3:P66" si="7">$P$1*C3*F3</f>
        <v>-854.66919390160001</v>
      </c>
      <c r="Q3" s="4">
        <f t="shared" ref="Q3:Q66" si="8">$Q$1*D3^2</f>
        <v>-335.7090366463575</v>
      </c>
      <c r="R3" s="4">
        <f t="shared" ref="R3:R66" si="9">$R$1*D3*E3</f>
        <v>342.63441924073197</v>
      </c>
      <c r="S3" s="4">
        <f t="shared" ref="S3:S66" si="10">$S$1*D3*F3</f>
        <v>7335.5051123725143</v>
      </c>
      <c r="T3" s="4">
        <f t="shared" ref="T3:T66" si="11">$T$1*E3^2</f>
        <v>-53.197124527063998</v>
      </c>
      <c r="U3" s="4">
        <f t="shared" ref="U3:U66" si="12">$U$1*E3*F3</f>
        <v>-2412.7833106524399</v>
      </c>
      <c r="V3" s="4">
        <f t="shared" ref="V3:V66" si="13">$V$1*F3^2</f>
        <v>-15974.989008646799</v>
      </c>
      <c r="W3" s="4">
        <f t="shared" ref="W3:W66" si="14">$W$1*C3^3</f>
        <v>-11.3783429232</v>
      </c>
      <c r="X3" s="4">
        <f t="shared" ref="X3:X66" si="15">$X$1*(C3^2)*D3</f>
        <v>32.450684007956639</v>
      </c>
      <c r="Y3" s="4">
        <f t="shared" ref="Y3:Y66" si="16">$Y$1*(C3^2)*E3</f>
        <v>9.8460629538383984</v>
      </c>
      <c r="Z3" s="4">
        <f t="shared" ref="Z3:Z66" si="17">$Z$1*(C3^2)*F3</f>
        <v>-397.53074525264316</v>
      </c>
      <c r="AA3" s="4">
        <f t="shared" ref="AA3:AA66" si="18">$AA$1*C3*(D3^2)</f>
        <v>44.195311749489193</v>
      </c>
      <c r="AB3" s="4">
        <f t="shared" ref="AB3:AB66" si="19">$AB$1*C3*D3*E3</f>
        <v>-138.7440744779268</v>
      </c>
      <c r="AC3" s="4">
        <f t="shared" ref="AC3:AC66" si="20">$AC$1*C3*D3*F3</f>
        <v>4.091729951267566</v>
      </c>
      <c r="AD3" s="4">
        <f t="shared" ref="AD3:AD66" si="21">$AD$1*C3*(E3^2)</f>
        <v>71.506178656635839</v>
      </c>
      <c r="AE3" s="4">
        <f t="shared" ref="AE3:AE66" si="22">$AE$1*C3*E3*F3</f>
        <v>158.86764740788655</v>
      </c>
      <c r="AF3" s="4">
        <f t="shared" ref="AF3:AF66" si="23">$AF$1*C3*(F3^2)</f>
        <v>872.8441442362805</v>
      </c>
      <c r="AG3" s="4">
        <f t="shared" ref="AG3:AG66" si="24">$AG$1*D3^3</f>
        <v>-64.050891186193553</v>
      </c>
      <c r="AH3" s="4">
        <f t="shared" ref="AH3:AH66" si="25">$AH$1*(D3^2)*E3</f>
        <v>158.24250114529238</v>
      </c>
      <c r="AI3" s="4">
        <f t="shared" ref="AI3:AI66" si="26">$AI$1*(D3^2)*F3</f>
        <v>442.0039552488098</v>
      </c>
      <c r="AJ3" s="4">
        <f t="shared" ref="AJ3:AJ66" si="27">$AJ$1*D3*(E3^2)</f>
        <v>-9.9658405764030036</v>
      </c>
      <c r="AK3" s="4">
        <f t="shared" ref="AK3:AK66" si="28">$AK$1*D3*E3*F3</f>
        <v>-770.6324434949812</v>
      </c>
      <c r="AL3" s="4">
        <f t="shared" ref="AL3:AL66" si="29">$AL$1*D3*(F3^2)</f>
        <v>-6627.260002366781</v>
      </c>
      <c r="AM3" s="4">
        <f t="shared" ref="AM3:AM66" si="30">$AM$1*E3^3</f>
        <v>-13.811576709477855</v>
      </c>
      <c r="AN3" s="4">
        <f t="shared" ref="AN3:AN66" si="31">$AN$1*(E3^2)*F3</f>
        <v>135.85638750788183</v>
      </c>
      <c r="AO3" s="4">
        <f t="shared" ref="AO3:AO66" si="32">$AO$1*E3*(F3^2)</f>
        <v>2299.5649766560582</v>
      </c>
      <c r="AP3" s="4">
        <f t="shared" ref="AP3:AP66" si="33">$AP$1*F3^3</f>
        <v>10548.517686477555</v>
      </c>
      <c r="AQ3" s="4">
        <f t="shared" ref="AQ3:AQ66" si="34">$AQ$1*C3^4</f>
        <v>0.15779165128913916</v>
      </c>
      <c r="AR3" s="4">
        <f t="shared" ref="AR3:AR66" si="35">$AR$1*(C3^3)*D3</f>
        <v>-2.2792553374013891</v>
      </c>
      <c r="AS3" s="4">
        <f t="shared" ref="AS3:AS66" si="36">$AS$1*(C3^3)*E3</f>
        <v>3.6933219229957237E-2</v>
      </c>
      <c r="AT3" s="4">
        <f t="shared" ref="AT3:AT66" si="37">$AT$1*(C3^3)*F3</f>
        <v>13.682192958430232</v>
      </c>
      <c r="AU3" s="4">
        <f t="shared" ref="AU3:AU66" si="38">$AU$1*(C3^2)*(D3^2)</f>
        <v>5.2640085357374646</v>
      </c>
      <c r="AV3" s="4">
        <f t="shared" ref="AV3:AV66" si="39">$AV$1*(C3^2)*D3*E3</f>
        <v>-2.6238734444533826E-2</v>
      </c>
      <c r="AW3" s="4">
        <f t="shared" ref="AW3:AW66" si="40">$AW$1*(C3^2)*D3*F3</f>
        <v>-38.916952594184608</v>
      </c>
      <c r="AX3" s="4">
        <f t="shared" ref="AX3:AX66" si="41">$AX$1*(C3^2)*(E3^2)</f>
        <v>-7.6724322266160119</v>
      </c>
      <c r="AY3" s="4">
        <f t="shared" ref="AY3:AY66" si="42">$AY$1*(C3^2)*E3*F3</f>
        <v>21.410767758036052</v>
      </c>
      <c r="AZ3" s="4">
        <f t="shared" ref="AZ3:AZ66" si="43">$AZ$1*(C3^2)*(F3^2)</f>
        <v>188.03262487336971</v>
      </c>
      <c r="BA3" s="4">
        <f t="shared" ref="BA3:BA66" si="44">$BA$1*C3*(D3^3)</f>
        <v>-0.86987620813913469</v>
      </c>
      <c r="BB3" s="4">
        <f t="shared" ref="BB3:BB66" si="45">$BB$1*C3*(D3^2)*E3</f>
        <v>-17.324131518174955</v>
      </c>
      <c r="BC3" s="4">
        <f t="shared" ref="BC3:BC66" si="46">$BC$1*C3*(D3^2)*F3</f>
        <v>-11.770058789310813</v>
      </c>
      <c r="BD3" s="4">
        <f t="shared" ref="BD3:BD66" si="47">$BD$1*C3*D3*(E3^2)</f>
        <v>23.128882861104547</v>
      </c>
      <c r="BE3" s="4">
        <f t="shared" ref="BE3:BE66" si="48">$BE$1*C3*D3*E3*F3</f>
        <v>79.530942044751768</v>
      </c>
      <c r="BF3" s="4">
        <f t="shared" ref="BF3:BF66" si="49">$BF$1*C3*D3*(F3^2)</f>
        <v>-68.362345465780905</v>
      </c>
      <c r="BG3" s="4">
        <f t="shared" ref="BG3:BG66" si="50">$BG$1*C3*(E3^3)</f>
        <v>-2.9937699666257327</v>
      </c>
      <c r="BH3" s="4">
        <f t="shared" ref="BH3:BH66" si="51">$BH$1*C3*(E3^2)*F3</f>
        <v>-61.61529077181639</v>
      </c>
      <c r="BI3" s="4">
        <f t="shared" ref="BI3:BI66" si="52">$BI$1*C3*E3*(F3^2)</f>
        <v>-9.6702761178254324</v>
      </c>
      <c r="BJ3" s="4">
        <f t="shared" ref="BJ3:BJ66" si="53">$BJ$1*C3*(F3^3)</f>
        <v>-310.44826857482713</v>
      </c>
      <c r="BK3" s="4">
        <f t="shared" ref="BK3:BK66" si="54">$BK$1*D3^4</f>
        <v>0.47538211207064857</v>
      </c>
      <c r="BL3" s="4">
        <f t="shared" ref="BL3:BL66" si="55">$BL$1*(D3^3)*E3</f>
        <v>11.525058457761922</v>
      </c>
      <c r="BM3" s="4">
        <f t="shared" ref="BM3:BM66" si="56">$BM$1*(D3^3)*F3</f>
        <v>32.475088816966469</v>
      </c>
      <c r="BN3" s="4">
        <f t="shared" ref="BN3:BN66" si="57">$BN$1*(D3^2)*(E3^2)</f>
        <v>-10.298961086378908</v>
      </c>
      <c r="BO3" s="4">
        <f t="shared" ref="BO3:BO66" si="58">$BO$1*(D3^2)*E3*F3</f>
        <v>-129.00642612829196</v>
      </c>
      <c r="BP3" s="4">
        <f t="shared" ref="BP3:BP66" si="59">$BP$1*(D3^2)*(F3^2)</f>
        <v>-101.58358000388242</v>
      </c>
      <c r="BQ3" s="4">
        <f t="shared" ref="BQ3:BQ66" si="60">$BQ$1*D3*(E3^3)</f>
        <v>-5.1493599590390859</v>
      </c>
      <c r="BR3" s="4">
        <f t="shared" ref="BR3:BR66" si="61">$BR$1*D3*(E3^2)*F3</f>
        <v>35.63829479028378</v>
      </c>
      <c r="BS3" s="4">
        <f t="shared" ref="BS3:BS66" si="62">$BS$1*D3*E3*(F3^2)</f>
        <v>376.8939105195717</v>
      </c>
      <c r="BT3" s="4">
        <f t="shared" ref="BT3:BT66" si="63">$BT$1*D3*(F3^3)</f>
        <v>1919.8247440596338</v>
      </c>
      <c r="BU3" s="4">
        <f t="shared" ref="BU3:BU66" si="64">$BU$1*E3^4</f>
        <v>0.76464750917667912</v>
      </c>
      <c r="BV3" s="4">
        <f t="shared" ref="BV3:BV66" si="65">$BV$1*(E3^3)*F3</f>
        <v>15.126507143617937</v>
      </c>
      <c r="BW3" s="4">
        <f t="shared" ref="BW3:BW66" si="66">$BW$1*(E3^2)*(F3^2)</f>
        <v>-99.087091862617953</v>
      </c>
      <c r="BX3" s="4">
        <f t="shared" ref="BX3:BX66" si="67">$BX$1*E3*(F3^3)</f>
        <v>-700.52319975897217</v>
      </c>
      <c r="BY3" s="4">
        <f t="shared" ref="BY3:BY66" si="68">$BY$1*F3^4</f>
        <v>-2573.1402749190056</v>
      </c>
      <c r="BZ3" s="6">
        <f>SUM(H3:BY3)</f>
        <v>1.5661571154646481</v>
      </c>
      <c r="CA3" s="7"/>
      <c r="CB3" s="6">
        <v>1.5661571154660121</v>
      </c>
      <c r="CC3" s="6"/>
    </row>
    <row r="4" spans="1:81" x14ac:dyDescent="0.3">
      <c r="A4" s="4">
        <v>2</v>
      </c>
      <c r="B4" s="4">
        <v>122187929</v>
      </c>
      <c r="C4" s="4">
        <v>7.9850000000000003</v>
      </c>
      <c r="D4" s="4">
        <v>3.988</v>
      </c>
      <c r="E4" s="4">
        <v>0.39100000000000001</v>
      </c>
      <c r="F4" s="4">
        <v>2.9950000000000001</v>
      </c>
      <c r="G4" s="8"/>
      <c r="H4" s="6">
        <v>-2618.81325553337</v>
      </c>
      <c r="I4" s="4">
        <f t="shared" si="0"/>
        <v>370.6062247685</v>
      </c>
      <c r="J4" s="4">
        <f t="shared" si="1"/>
        <v>-1962.607504868</v>
      </c>
      <c r="K4" s="4">
        <f t="shared" si="2"/>
        <v>926.21120059999998</v>
      </c>
      <c r="L4" s="4">
        <f t="shared" si="3"/>
        <v>9678.3608294000005</v>
      </c>
      <c r="M4" s="4">
        <f t="shared" si="4"/>
        <v>246.36063525188453</v>
      </c>
      <c r="N4" s="4">
        <f t="shared" si="5"/>
        <v>80.556644718268601</v>
      </c>
      <c r="O4" s="4">
        <f t="shared" si="6"/>
        <v>-214.89688924058001</v>
      </c>
      <c r="P4" s="4">
        <f t="shared" si="7"/>
        <v>-916.96326097092503</v>
      </c>
      <c r="Q4" s="4">
        <f t="shared" si="8"/>
        <v>-190.86495621788001</v>
      </c>
      <c r="R4" s="4">
        <f t="shared" si="9"/>
        <v>282.16705220248798</v>
      </c>
      <c r="S4" s="4">
        <f t="shared" si="10"/>
        <v>5053.5839457100201</v>
      </c>
      <c r="T4" s="4">
        <f t="shared" si="11"/>
        <v>-63.456427661606007</v>
      </c>
      <c r="U4" s="4">
        <f t="shared" si="12"/>
        <v>-2407.6864486989507</v>
      </c>
      <c r="V4" s="4">
        <f t="shared" si="13"/>
        <v>-13335.715536442502</v>
      </c>
      <c r="W4" s="4">
        <f t="shared" si="14"/>
        <v>-18.423707999533963</v>
      </c>
      <c r="X4" s="4">
        <f t="shared" si="15"/>
        <v>33.739407653050954</v>
      </c>
      <c r="Y4" s="4">
        <f t="shared" si="16"/>
        <v>14.828197249754277</v>
      </c>
      <c r="Z4" s="4">
        <f t="shared" si="17"/>
        <v>-500.83032339673804</v>
      </c>
      <c r="AA4" s="4">
        <f t="shared" si="18"/>
        <v>29.505662791511018</v>
      </c>
      <c r="AB4" s="4">
        <f t="shared" si="19"/>
        <v>-134.17010676342548</v>
      </c>
      <c r="AC4" s="4">
        <f t="shared" si="20"/>
        <v>3.3101100360107876</v>
      </c>
      <c r="AD4" s="4">
        <f t="shared" si="21"/>
        <v>100.16062800987646</v>
      </c>
      <c r="AE4" s="4">
        <f t="shared" si="22"/>
        <v>186.15858977993369</v>
      </c>
      <c r="AF4" s="4">
        <f t="shared" si="23"/>
        <v>855.61514915726536</v>
      </c>
      <c r="AG4" s="4">
        <f t="shared" si="24"/>
        <v>-27.458064738676317</v>
      </c>
      <c r="AH4" s="4">
        <f t="shared" si="25"/>
        <v>98.260740947012977</v>
      </c>
      <c r="AI4" s="4">
        <f t="shared" si="26"/>
        <v>229.60280972336875</v>
      </c>
      <c r="AJ4" s="4">
        <f t="shared" si="27"/>
        <v>-8.9636105605687266</v>
      </c>
      <c r="AK4" s="4">
        <f t="shared" si="28"/>
        <v>-579.84308147512957</v>
      </c>
      <c r="AL4" s="4">
        <f t="shared" si="29"/>
        <v>-4171.491345313977</v>
      </c>
      <c r="AM4" s="4">
        <f t="shared" si="30"/>
        <v>-17.993864761925551</v>
      </c>
      <c r="AN4" s="4">
        <f t="shared" si="31"/>
        <v>148.06601950105076</v>
      </c>
      <c r="AO4" s="4">
        <f t="shared" si="32"/>
        <v>2096.5980197650142</v>
      </c>
      <c r="AP4" s="4">
        <f t="shared" si="33"/>
        <v>8045.5375823830818</v>
      </c>
      <c r="AQ4" s="4">
        <f t="shared" si="34"/>
        <v>0.30001851158591158</v>
      </c>
      <c r="AR4" s="4">
        <f t="shared" si="35"/>
        <v>-2.7827397157966329</v>
      </c>
      <c r="AS4" s="4">
        <f t="shared" si="36"/>
        <v>6.5314396446441617E-2</v>
      </c>
      <c r="AT4" s="4">
        <f t="shared" si="37"/>
        <v>20.241449612518057</v>
      </c>
      <c r="AU4" s="4">
        <f t="shared" si="38"/>
        <v>4.1267842616925456</v>
      </c>
      <c r="AV4" s="4">
        <f t="shared" si="39"/>
        <v>-2.9795468121084492E-2</v>
      </c>
      <c r="AW4" s="4">
        <f t="shared" si="40"/>
        <v>-36.96922113572839</v>
      </c>
      <c r="AX4" s="4">
        <f t="shared" si="41"/>
        <v>-12.619801908105355</v>
      </c>
      <c r="AY4" s="4">
        <f t="shared" si="42"/>
        <v>29.460890132949157</v>
      </c>
      <c r="AZ4" s="4">
        <f t="shared" si="43"/>
        <v>216.441721358828</v>
      </c>
      <c r="BA4" s="4">
        <f t="shared" si="44"/>
        <v>-0.43789320724019754</v>
      </c>
      <c r="BB4" s="4">
        <f t="shared" si="45"/>
        <v>-12.632065701048937</v>
      </c>
      <c r="BC4" s="4">
        <f t="shared" si="46"/>
        <v>-7.1795245116685944</v>
      </c>
      <c r="BD4" s="4">
        <f t="shared" si="47"/>
        <v>24.428101086202833</v>
      </c>
      <c r="BE4" s="4">
        <f t="shared" si="48"/>
        <v>70.269251148935382</v>
      </c>
      <c r="BF4" s="4">
        <f t="shared" si="49"/>
        <v>-50.528953072055181</v>
      </c>
      <c r="BG4" s="4">
        <f t="shared" si="50"/>
        <v>-4.5800015741656717</v>
      </c>
      <c r="BH4" s="4">
        <f t="shared" si="51"/>
        <v>-78.855111304857019</v>
      </c>
      <c r="BI4" s="4">
        <f t="shared" si="52"/>
        <v>-10.353194388732547</v>
      </c>
      <c r="BJ4" s="4">
        <f t="shared" si="53"/>
        <v>-278.04742811539836</v>
      </c>
      <c r="BK4" s="4">
        <f t="shared" si="54"/>
        <v>0.15366294995136012</v>
      </c>
      <c r="BL4" s="4">
        <f t="shared" si="55"/>
        <v>5.3961202048647658</v>
      </c>
      <c r="BM4" s="4">
        <f t="shared" si="56"/>
        <v>12.719878790012135</v>
      </c>
      <c r="BN4" s="4">
        <f t="shared" si="57"/>
        <v>-6.9846402764554156</v>
      </c>
      <c r="BO4" s="4">
        <f t="shared" si="58"/>
        <v>-73.19073653793221</v>
      </c>
      <c r="BP4" s="4">
        <f t="shared" si="59"/>
        <v>-48.212808895444276</v>
      </c>
      <c r="BQ4" s="4">
        <f t="shared" si="60"/>
        <v>-5.0584332851985145</v>
      </c>
      <c r="BR4" s="4">
        <f t="shared" si="61"/>
        <v>29.286929211647415</v>
      </c>
      <c r="BS4" s="4">
        <f t="shared" si="62"/>
        <v>259.10165614991951</v>
      </c>
      <c r="BT4" s="4">
        <f t="shared" si="63"/>
        <v>1104.0959071398099</v>
      </c>
      <c r="BU4" s="4">
        <f t="shared" si="64"/>
        <v>1.0880183027543939</v>
      </c>
      <c r="BV4" s="4">
        <f t="shared" si="65"/>
        <v>18.005605333064072</v>
      </c>
      <c r="BW4" s="4">
        <f t="shared" si="66"/>
        <v>-98.668902794444648</v>
      </c>
      <c r="BX4" s="4">
        <f t="shared" si="67"/>
        <v>-583.55243547946304</v>
      </c>
      <c r="BY4" s="4">
        <f t="shared" si="68"/>
        <v>-1793.1431950822575</v>
      </c>
      <c r="BZ4" s="6">
        <f>SUM(G4:BY4)</f>
        <v>0.40549114137411379</v>
      </c>
      <c r="CA4" s="7"/>
      <c r="CB4" s="6">
        <v>0.4054922106010963</v>
      </c>
      <c r="CC4" s="6"/>
    </row>
    <row r="5" spans="1:81" x14ac:dyDescent="0.3">
      <c r="A5" s="4">
        <v>3</v>
      </c>
      <c r="B5" s="4">
        <v>122187923</v>
      </c>
      <c r="C5" s="4">
        <v>7.9850000000000003</v>
      </c>
      <c r="D5" s="4">
        <v>3.5939999999999999</v>
      </c>
      <c r="E5" s="4">
        <v>0.45</v>
      </c>
      <c r="F5" s="4">
        <v>2.8879999999999999</v>
      </c>
      <c r="H5" s="6">
        <v>-2618.81325553337</v>
      </c>
      <c r="I5" s="4">
        <f t="shared" si="0"/>
        <v>370.6062247685</v>
      </c>
      <c r="J5" s="4">
        <f t="shared" si="1"/>
        <v>-1768.708970034</v>
      </c>
      <c r="K5" s="4">
        <f t="shared" si="2"/>
        <v>1065.9719700000001</v>
      </c>
      <c r="L5" s="4">
        <f t="shared" si="3"/>
        <v>9332.5896745600003</v>
      </c>
      <c r="M5" s="4">
        <f t="shared" si="4"/>
        <v>246.36063525188453</v>
      </c>
      <c r="N5" s="4">
        <f t="shared" si="5"/>
        <v>72.597939096654301</v>
      </c>
      <c r="O5" s="4">
        <f t="shared" si="6"/>
        <v>-247.323785571</v>
      </c>
      <c r="P5" s="4">
        <f t="shared" si="7"/>
        <v>-884.20363862572003</v>
      </c>
      <c r="Q5" s="4">
        <f t="shared" si="8"/>
        <v>-155.01439987046999</v>
      </c>
      <c r="R5" s="4">
        <f t="shared" si="9"/>
        <v>292.66108653779997</v>
      </c>
      <c r="S5" s="4">
        <f t="shared" si="10"/>
        <v>4391.5999303542239</v>
      </c>
      <c r="T5" s="4">
        <f t="shared" si="11"/>
        <v>-84.051822014999999</v>
      </c>
      <c r="U5" s="4">
        <f t="shared" si="12"/>
        <v>-2671.9974968760002</v>
      </c>
      <c r="V5" s="4">
        <f t="shared" si="13"/>
        <v>-12399.867581548799</v>
      </c>
      <c r="W5" s="4">
        <f t="shared" si="14"/>
        <v>-18.423707999533963</v>
      </c>
      <c r="X5" s="4">
        <f t="shared" si="15"/>
        <v>30.406076004279118</v>
      </c>
      <c r="Y5" s="4">
        <f t="shared" si="16"/>
        <v>17.065700159563747</v>
      </c>
      <c r="Z5" s="4">
        <f t="shared" si="17"/>
        <v>-482.93755391311498</v>
      </c>
      <c r="AA5" s="4">
        <f t="shared" si="18"/>
        <v>23.963553608999639</v>
      </c>
      <c r="AB5" s="4">
        <f t="shared" si="19"/>
        <v>-139.16000794486274</v>
      </c>
      <c r="AC5" s="4">
        <f t="shared" si="20"/>
        <v>2.8765088617851009</v>
      </c>
      <c r="AD5" s="4">
        <f t="shared" si="21"/>
        <v>132.66872385711753</v>
      </c>
      <c r="AE5" s="4">
        <f t="shared" si="22"/>
        <v>206.59471094449984</v>
      </c>
      <c r="AF5" s="4">
        <f t="shared" si="23"/>
        <v>795.57145031510311</v>
      </c>
      <c r="AG5" s="4">
        <f t="shared" si="24"/>
        <v>-20.097345285469718</v>
      </c>
      <c r="AH5" s="4">
        <f t="shared" si="25"/>
        <v>91.846294022001942</v>
      </c>
      <c r="AI5" s="4">
        <f t="shared" si="26"/>
        <v>179.81396053594835</v>
      </c>
      <c r="AJ5" s="4">
        <f t="shared" si="27"/>
        <v>-10.699843251708</v>
      </c>
      <c r="AK5" s="4">
        <f t="shared" si="28"/>
        <v>-579.92191563314873</v>
      </c>
      <c r="AL5" s="4">
        <f t="shared" si="29"/>
        <v>-3495.5457803671861</v>
      </c>
      <c r="AM5" s="4">
        <f t="shared" si="30"/>
        <v>-27.430373506500001</v>
      </c>
      <c r="AN5" s="4">
        <f t="shared" si="31"/>
        <v>189.11556572021999</v>
      </c>
      <c r="AO5" s="4">
        <f t="shared" si="32"/>
        <v>2243.6321366388097</v>
      </c>
      <c r="AP5" s="4">
        <f t="shared" si="33"/>
        <v>7213.668062962488</v>
      </c>
      <c r="AQ5" s="4">
        <f t="shared" si="34"/>
        <v>0.30001851158591158</v>
      </c>
      <c r="AR5" s="4">
        <f t="shared" si="35"/>
        <v>-2.5078150798829233</v>
      </c>
      <c r="AS5" s="4">
        <f t="shared" si="36"/>
        <v>7.517002148567449E-2</v>
      </c>
      <c r="AT5" s="4">
        <f t="shared" si="37"/>
        <v>19.518299325860482</v>
      </c>
      <c r="AU5" s="4">
        <f t="shared" si="38"/>
        <v>3.3516419063901637</v>
      </c>
      <c r="AV5" s="4">
        <f t="shared" si="39"/>
        <v>-3.0903587099040054E-2</v>
      </c>
      <c r="AW5" s="4">
        <f t="shared" si="40"/>
        <v>-32.126512730185624</v>
      </c>
      <c r="AX5" s="4">
        <f t="shared" si="41"/>
        <v>-16.71568008052887</v>
      </c>
      <c r="AY5" s="4">
        <f t="shared" si="42"/>
        <v>32.695048283183581</v>
      </c>
      <c r="AZ5" s="4">
        <f t="shared" si="43"/>
        <v>201.25269443831476</v>
      </c>
      <c r="BA5" s="4">
        <f t="shared" si="44"/>
        <v>-0.32050660044048856</v>
      </c>
      <c r="BB5" s="4">
        <f t="shared" si="45"/>
        <v>-11.807446283245801</v>
      </c>
      <c r="BC5" s="4">
        <f t="shared" si="46"/>
        <v>-5.6226608845225119</v>
      </c>
      <c r="BD5" s="4">
        <f t="shared" si="47"/>
        <v>29.159773374030241</v>
      </c>
      <c r="BE5" s="4">
        <f t="shared" si="48"/>
        <v>70.278804797889634</v>
      </c>
      <c r="BF5" s="4">
        <f t="shared" si="49"/>
        <v>-42.341276554680192</v>
      </c>
      <c r="BG5" s="4">
        <f t="shared" si="50"/>
        <v>-6.9818882992581948</v>
      </c>
      <c r="BH5" s="4">
        <f t="shared" si="51"/>
        <v>-100.71675482734999</v>
      </c>
      <c r="BI5" s="4">
        <f t="shared" si="52"/>
        <v>-11.079262418664506</v>
      </c>
      <c r="BJ5" s="4">
        <f t="shared" si="53"/>
        <v>-249.29867415904957</v>
      </c>
      <c r="BK5" s="4">
        <f t="shared" si="54"/>
        <v>0.10135865964477254</v>
      </c>
      <c r="BL5" s="4">
        <f t="shared" si="55"/>
        <v>4.5455468813619788</v>
      </c>
      <c r="BM5" s="4">
        <f t="shared" si="56"/>
        <v>8.9774315909014994</v>
      </c>
      <c r="BN5" s="4">
        <f t="shared" si="57"/>
        <v>-7.5138306579797716</v>
      </c>
      <c r="BO5" s="4">
        <f t="shared" si="58"/>
        <v>-65.968723787191124</v>
      </c>
      <c r="BP5" s="4">
        <f t="shared" si="59"/>
        <v>-36.409021302668265</v>
      </c>
      <c r="BQ5" s="4">
        <f t="shared" si="60"/>
        <v>-6.9493825404038256</v>
      </c>
      <c r="BR5" s="4">
        <f t="shared" si="61"/>
        <v>33.710767131534986</v>
      </c>
      <c r="BS5" s="4">
        <f t="shared" si="62"/>
        <v>249.87890423429423</v>
      </c>
      <c r="BT5" s="4">
        <f t="shared" si="63"/>
        <v>892.13547613652884</v>
      </c>
      <c r="BU5" s="4">
        <f t="shared" si="64"/>
        <v>1.9088826326550004</v>
      </c>
      <c r="BV5" s="4">
        <f t="shared" si="65"/>
        <v>26.467648466579998</v>
      </c>
      <c r="BW5" s="4">
        <f t="shared" si="66"/>
        <v>-121.52133612620582</v>
      </c>
      <c r="BX5" s="4">
        <f t="shared" si="67"/>
        <v>-602.1666911483801</v>
      </c>
      <c r="BY5" s="4">
        <f t="shared" si="68"/>
        <v>-1550.3024062224217</v>
      </c>
      <c r="BZ5" s="6">
        <f t="shared" ref="BZ5:BZ66" si="69">SUM(G5:BY5)</f>
        <v>-0.61058067392173143</v>
      </c>
      <c r="CA5" s="7"/>
      <c r="CB5" s="6">
        <v>-0.61057953537510912</v>
      </c>
      <c r="CC5" s="6"/>
    </row>
    <row r="6" spans="1:81" x14ac:dyDescent="0.3">
      <c r="A6" s="4">
        <v>4</v>
      </c>
      <c r="B6" s="4">
        <v>4735</v>
      </c>
      <c r="C6" s="4">
        <v>6.569</v>
      </c>
      <c r="D6" s="4">
        <v>3.657</v>
      </c>
      <c r="E6" s="4">
        <v>0.98199999999999998</v>
      </c>
      <c r="F6" s="4">
        <v>3.1989999999999998</v>
      </c>
      <c r="H6" s="6">
        <v>-2618.81325553337</v>
      </c>
      <c r="I6" s="4">
        <f t="shared" si="0"/>
        <v>304.8856969949</v>
      </c>
      <c r="J6" s="4">
        <f t="shared" si="1"/>
        <v>-1799.713050477</v>
      </c>
      <c r="K6" s="4">
        <f t="shared" si="2"/>
        <v>2326.1877211999999</v>
      </c>
      <c r="L6" s="4">
        <f t="shared" si="3"/>
        <v>10337.58807788</v>
      </c>
      <c r="M6" s="4">
        <f t="shared" si="4"/>
        <v>166.73239864190404</v>
      </c>
      <c r="N6" s="4">
        <f t="shared" si="5"/>
        <v>60.770879423093902</v>
      </c>
      <c r="O6" s="4">
        <f t="shared" si="6"/>
        <v>-444.00636982186398</v>
      </c>
      <c r="P6" s="4">
        <f t="shared" si="7"/>
        <v>-805.73771081864891</v>
      </c>
      <c r="Q6" s="4">
        <f t="shared" si="8"/>
        <v>-160.49659326891751</v>
      </c>
      <c r="R6" s="4">
        <f t="shared" si="9"/>
        <v>649.84658677196398</v>
      </c>
      <c r="S6" s="4">
        <f t="shared" si="10"/>
        <v>4949.7892517106811</v>
      </c>
      <c r="T6" s="4">
        <f t="shared" si="11"/>
        <v>-400.26266277922394</v>
      </c>
      <c r="U6" s="4">
        <f t="shared" si="12"/>
        <v>-6458.8035031095797</v>
      </c>
      <c r="V6" s="4">
        <f t="shared" si="13"/>
        <v>-15214.271069417697</v>
      </c>
      <c r="W6" s="4">
        <f t="shared" si="14"/>
        <v>-10.257701714393734</v>
      </c>
      <c r="X6" s="4">
        <f t="shared" si="15"/>
        <v>20.939000491759682</v>
      </c>
      <c r="Y6" s="4">
        <f t="shared" si="16"/>
        <v>25.204133291585251</v>
      </c>
      <c r="Z6" s="4">
        <f t="shared" si="17"/>
        <v>-362.04012989785713</v>
      </c>
      <c r="AA6" s="4">
        <f t="shared" si="18"/>
        <v>20.411237567563461</v>
      </c>
      <c r="AB6" s="4">
        <f t="shared" si="19"/>
        <v>-254.20532739113571</v>
      </c>
      <c r="AC6" s="4">
        <f t="shared" si="20"/>
        <v>2.6671902595121999</v>
      </c>
      <c r="AD6" s="4">
        <f t="shared" si="21"/>
        <v>519.74562353747342</v>
      </c>
      <c r="AE6" s="4">
        <f t="shared" si="22"/>
        <v>410.82755558532818</v>
      </c>
      <c r="AF6" s="4">
        <f t="shared" si="23"/>
        <v>803.04084164705716</v>
      </c>
      <c r="AG6" s="4">
        <f t="shared" si="24"/>
        <v>-21.172851754295142</v>
      </c>
      <c r="AH6" s="4">
        <f t="shared" si="25"/>
        <v>207.51733739566865</v>
      </c>
      <c r="AI6" s="4">
        <f t="shared" si="26"/>
        <v>206.22163848362055</v>
      </c>
      <c r="AJ6" s="4">
        <f t="shared" si="27"/>
        <v>-51.846835136195793</v>
      </c>
      <c r="AK6" s="4">
        <f t="shared" si="28"/>
        <v>-1426.3707819821473</v>
      </c>
      <c r="AL6" s="4">
        <f t="shared" si="29"/>
        <v>-4364.1129703080587</v>
      </c>
      <c r="AM6" s="4">
        <f t="shared" si="30"/>
        <v>-285.05498695483158</v>
      </c>
      <c r="AN6" s="4">
        <f t="shared" si="31"/>
        <v>997.56746259272211</v>
      </c>
      <c r="AO6" s="4">
        <f t="shared" si="32"/>
        <v>6007.3747994669984</v>
      </c>
      <c r="AP6" s="4">
        <f t="shared" si="33"/>
        <v>9804.0904194781342</v>
      </c>
      <c r="AQ6" s="4">
        <f t="shared" si="34"/>
        <v>0.13741856773506242</v>
      </c>
      <c r="AR6" s="4">
        <f t="shared" si="35"/>
        <v>-1.4207426608351876</v>
      </c>
      <c r="AS6" s="4">
        <f t="shared" si="36"/>
        <v>9.1330676085039433E-2</v>
      </c>
      <c r="AT6" s="4">
        <f t="shared" si="37"/>
        <v>12.037382177914665</v>
      </c>
      <c r="AU6" s="4">
        <f t="shared" si="38"/>
        <v>2.3485514014558797</v>
      </c>
      <c r="AV6" s="4">
        <f t="shared" si="39"/>
        <v>-4.6441200422950524E-2</v>
      </c>
      <c r="AW6" s="4">
        <f t="shared" si="40"/>
        <v>-24.506213219944932</v>
      </c>
      <c r="AX6" s="4">
        <f t="shared" si="41"/>
        <v>-53.872940566595346</v>
      </c>
      <c r="AY6" s="4">
        <f t="shared" si="42"/>
        <v>53.486809270019336</v>
      </c>
      <c r="AZ6" s="4">
        <f t="shared" si="43"/>
        <v>167.1184845350403</v>
      </c>
      <c r="BA6" s="4">
        <f t="shared" si="44"/>
        <v>-0.27778064487248449</v>
      </c>
      <c r="BB6" s="4">
        <f t="shared" si="45"/>
        <v>-21.946894148261748</v>
      </c>
      <c r="BC6" s="4">
        <f t="shared" si="46"/>
        <v>-5.3048982541437288</v>
      </c>
      <c r="BD6" s="4">
        <f t="shared" si="47"/>
        <v>116.23938977275462</v>
      </c>
      <c r="BE6" s="4">
        <f t="shared" si="48"/>
        <v>142.20393730098931</v>
      </c>
      <c r="BF6" s="4">
        <f t="shared" si="49"/>
        <v>-43.487984357075248</v>
      </c>
      <c r="BG6" s="4">
        <f t="shared" si="50"/>
        <v>-59.688980324465334</v>
      </c>
      <c r="BH6" s="4">
        <f t="shared" si="51"/>
        <v>-437.06000323032765</v>
      </c>
      <c r="BI6" s="4">
        <f t="shared" si="52"/>
        <v>-24.404407423500466</v>
      </c>
      <c r="BJ6" s="4">
        <f t="shared" si="53"/>
        <v>-278.7375405827047</v>
      </c>
      <c r="BK6" s="4">
        <f t="shared" si="54"/>
        <v>0.10865467299973139</v>
      </c>
      <c r="BL6" s="4">
        <f t="shared" si="55"/>
        <v>10.450228292357595</v>
      </c>
      <c r="BM6" s="4">
        <f t="shared" si="56"/>
        <v>10.476345637613891</v>
      </c>
      <c r="BN6" s="4">
        <f t="shared" si="57"/>
        <v>-37.047006891437874</v>
      </c>
      <c r="BO6" s="4">
        <f t="shared" si="58"/>
        <v>-165.100307731692</v>
      </c>
      <c r="BP6" s="4">
        <f t="shared" si="59"/>
        <v>-46.252677927005998</v>
      </c>
      <c r="BQ6" s="4">
        <f t="shared" si="60"/>
        <v>-73.483532985094698</v>
      </c>
      <c r="BR6" s="4">
        <f t="shared" si="61"/>
        <v>180.93830697162804</v>
      </c>
      <c r="BS6" s="4">
        <f t="shared" si="62"/>
        <v>680.78433936904923</v>
      </c>
      <c r="BT6" s="4">
        <f t="shared" si="63"/>
        <v>1233.754786950607</v>
      </c>
      <c r="BU6" s="4">
        <f t="shared" si="64"/>
        <v>43.288757711678826</v>
      </c>
      <c r="BV6" s="4">
        <f t="shared" si="65"/>
        <v>304.66974641517163</v>
      </c>
      <c r="BW6" s="4">
        <f t="shared" si="66"/>
        <v>-710.04289549071609</v>
      </c>
      <c r="BX6" s="4">
        <f t="shared" si="67"/>
        <v>-1785.939967368837</v>
      </c>
      <c r="BY6" s="4">
        <f t="shared" si="68"/>
        <v>-2333.9128000582809</v>
      </c>
      <c r="BZ6" s="6">
        <f t="shared" si="69"/>
        <v>-0.1574932883618203</v>
      </c>
      <c r="CA6" s="7"/>
      <c r="CB6" s="6">
        <v>-0.15749474081530929</v>
      </c>
      <c r="CC6" s="6"/>
    </row>
    <row r="7" spans="1:81" x14ac:dyDescent="0.3">
      <c r="A7" s="4">
        <v>5</v>
      </c>
      <c r="B7" s="4">
        <v>5280965</v>
      </c>
      <c r="C7" s="4">
        <v>21.175999999999998</v>
      </c>
      <c r="D7" s="4">
        <v>10</v>
      </c>
      <c r="E7" s="4">
        <v>0.80100000000000005</v>
      </c>
      <c r="F7" s="4">
        <v>3.5369999999999999</v>
      </c>
      <c r="H7" s="6">
        <v>-2618.81325553337</v>
      </c>
      <c r="I7" s="4">
        <f t="shared" si="0"/>
        <v>982.83749726959991</v>
      </c>
      <c r="J7" s="4">
        <f t="shared" si="1"/>
        <v>-4921.2826100000002</v>
      </c>
      <c r="K7" s="4">
        <f t="shared" si="2"/>
        <v>1897.4301066</v>
      </c>
      <c r="L7" s="4">
        <f t="shared" si="3"/>
        <v>11429.837146440001</v>
      </c>
      <c r="M7" s="4">
        <f t="shared" si="4"/>
        <v>1732.6439677542003</v>
      </c>
      <c r="N7" s="4">
        <f t="shared" si="5"/>
        <v>535.69208205519988</v>
      </c>
      <c r="O7" s="4">
        <f t="shared" si="6"/>
        <v>-1167.4946399734079</v>
      </c>
      <c r="P7" s="4">
        <f t="shared" si="7"/>
        <v>-2871.8329659702476</v>
      </c>
      <c r="Q7" s="4">
        <f t="shared" si="8"/>
        <v>-1200.09575</v>
      </c>
      <c r="R7" s="4">
        <f t="shared" si="9"/>
        <v>1449.4622538599999</v>
      </c>
      <c r="S7" s="4">
        <f t="shared" si="10"/>
        <v>14965.20146079</v>
      </c>
      <c r="T7" s="4">
        <f t="shared" si="11"/>
        <v>-266.309792872326</v>
      </c>
      <c r="U7" s="4">
        <f t="shared" si="12"/>
        <v>-5824.9730473274703</v>
      </c>
      <c r="V7" s="4">
        <f t="shared" si="13"/>
        <v>-18599.136818451298</v>
      </c>
      <c r="W7" s="4">
        <f t="shared" si="14"/>
        <v>-343.62445596055062</v>
      </c>
      <c r="X7" s="4">
        <f t="shared" si="15"/>
        <v>595.00459496809026</v>
      </c>
      <c r="Y7" s="4">
        <f t="shared" si="16"/>
        <v>213.6397833363032</v>
      </c>
      <c r="Z7" s="4">
        <f t="shared" si="17"/>
        <v>-4159.7464964203973</v>
      </c>
      <c r="AA7" s="4">
        <f t="shared" si="18"/>
        <v>491.99884503759995</v>
      </c>
      <c r="AB7" s="4">
        <f t="shared" si="19"/>
        <v>-1827.7861503214801</v>
      </c>
      <c r="AC7" s="4">
        <f t="shared" si="20"/>
        <v>25.995281353641214</v>
      </c>
      <c r="AD7" s="4">
        <f t="shared" si="21"/>
        <v>1114.7502132684331</v>
      </c>
      <c r="AE7" s="4">
        <f t="shared" si="22"/>
        <v>1194.3897836539463</v>
      </c>
      <c r="AF7" s="4">
        <f t="shared" si="23"/>
        <v>3164.6372767509074</v>
      </c>
      <c r="AG7" s="4">
        <f t="shared" si="24"/>
        <v>-432.91683600000005</v>
      </c>
      <c r="AH7" s="4">
        <f t="shared" si="25"/>
        <v>1265.6845945800001</v>
      </c>
      <c r="AI7" s="4">
        <f t="shared" si="26"/>
        <v>1704.924423405</v>
      </c>
      <c r="AJ7" s="4">
        <f t="shared" si="27"/>
        <v>-94.327722200088004</v>
      </c>
      <c r="AK7" s="4">
        <f t="shared" si="28"/>
        <v>-3517.6232391764402</v>
      </c>
      <c r="AL7" s="4">
        <f t="shared" si="29"/>
        <v>-14588.567978786279</v>
      </c>
      <c r="AM7" s="4">
        <f t="shared" si="30"/>
        <v>-154.70050384403041</v>
      </c>
      <c r="AN7" s="4">
        <f t="shared" si="31"/>
        <v>733.84637242369865</v>
      </c>
      <c r="AO7" s="4">
        <f t="shared" si="32"/>
        <v>5990.2837698243275</v>
      </c>
      <c r="AP7" s="4">
        <f t="shared" si="33"/>
        <v>13251.644210661498</v>
      </c>
      <c r="AQ7" s="4">
        <f t="shared" si="34"/>
        <v>14.839664535927984</v>
      </c>
      <c r="AR7" s="4">
        <f t="shared" si="35"/>
        <v>-130.14409274449565</v>
      </c>
      <c r="AS7" s="4">
        <f t="shared" si="36"/>
        <v>2.4955811704145501</v>
      </c>
      <c r="AT7" s="4">
        <f t="shared" si="37"/>
        <v>445.84804667967404</v>
      </c>
      <c r="AU7" s="4">
        <f t="shared" si="38"/>
        <v>182.49017260962322</v>
      </c>
      <c r="AV7" s="4">
        <f t="shared" si="39"/>
        <v>-1.0764375466851117</v>
      </c>
      <c r="AW7" s="4">
        <f t="shared" si="40"/>
        <v>-769.94800864299327</v>
      </c>
      <c r="AX7" s="4">
        <f t="shared" si="41"/>
        <v>-372.47923861623138</v>
      </c>
      <c r="AY7" s="4">
        <f t="shared" si="42"/>
        <v>501.27710792172456</v>
      </c>
      <c r="AZ7" s="4">
        <f t="shared" si="43"/>
        <v>2123.0267243230678</v>
      </c>
      <c r="BA7" s="4">
        <f t="shared" si="44"/>
        <v>-18.3093011176</v>
      </c>
      <c r="BB7" s="4">
        <f t="shared" si="45"/>
        <v>-431.50799132701917</v>
      </c>
      <c r="BC7" s="4">
        <f t="shared" si="46"/>
        <v>-141.38151274942123</v>
      </c>
      <c r="BD7" s="4">
        <f t="shared" si="47"/>
        <v>681.73420408552727</v>
      </c>
      <c r="BE7" s="4">
        <f t="shared" si="48"/>
        <v>1130.506790428361</v>
      </c>
      <c r="BF7" s="4">
        <f t="shared" si="49"/>
        <v>-468.63057974447059</v>
      </c>
      <c r="BG7" s="4">
        <f t="shared" si="50"/>
        <v>-104.42438138331785</v>
      </c>
      <c r="BH7" s="4">
        <f t="shared" si="51"/>
        <v>-1036.4506001935881</v>
      </c>
      <c r="BI7" s="4">
        <f t="shared" si="52"/>
        <v>-78.446866546707952</v>
      </c>
      <c r="BJ7" s="4">
        <f t="shared" si="53"/>
        <v>-1214.5141789504669</v>
      </c>
      <c r="BK7" s="4">
        <f t="shared" si="54"/>
        <v>6.0750319699999995</v>
      </c>
      <c r="BL7" s="4">
        <f t="shared" si="55"/>
        <v>174.289781439</v>
      </c>
      <c r="BM7" s="4">
        <f t="shared" si="56"/>
        <v>236.84038426260003</v>
      </c>
      <c r="BN7" s="4">
        <f t="shared" si="57"/>
        <v>-184.30845647295601</v>
      </c>
      <c r="BO7" s="4">
        <f t="shared" si="58"/>
        <v>-1113.3707566093922</v>
      </c>
      <c r="BP7" s="4">
        <f t="shared" si="59"/>
        <v>-422.79379147117169</v>
      </c>
      <c r="BQ7" s="4">
        <f t="shared" si="60"/>
        <v>-109.0506234863872</v>
      </c>
      <c r="BR7" s="4">
        <f t="shared" si="61"/>
        <v>363.97238821771253</v>
      </c>
      <c r="BS7" s="4">
        <f t="shared" si="62"/>
        <v>1856.2961510681721</v>
      </c>
      <c r="BT7" s="4">
        <f t="shared" si="63"/>
        <v>4560.0158224381785</v>
      </c>
      <c r="BU7" s="4">
        <f t="shared" si="64"/>
        <v>19.162811868600723</v>
      </c>
      <c r="BV7" s="4">
        <f t="shared" si="65"/>
        <v>182.8155930838933</v>
      </c>
      <c r="BW7" s="4">
        <f t="shared" si="66"/>
        <v>-577.52166701578631</v>
      </c>
      <c r="BX7" s="4">
        <f t="shared" si="67"/>
        <v>-1969.0209814189768</v>
      </c>
      <c r="BY7" s="4">
        <f t="shared" si="68"/>
        <v>-3487.9311594689511</v>
      </c>
      <c r="BZ7" s="6">
        <f t="shared" si="69"/>
        <v>1.0470317909207552</v>
      </c>
      <c r="CA7" s="7"/>
      <c r="CB7" s="6">
        <v>1.047015025142173</v>
      </c>
      <c r="CC7" s="6"/>
    </row>
    <row r="8" spans="1:81" x14ac:dyDescent="0.3">
      <c r="A8" s="4">
        <v>6</v>
      </c>
      <c r="B8" s="4">
        <v>24936063</v>
      </c>
      <c r="C8" s="4">
        <v>11.894</v>
      </c>
      <c r="D8" s="4">
        <v>5.8929999999999998</v>
      </c>
      <c r="E8" s="4">
        <v>0.86</v>
      </c>
      <c r="F8" s="4">
        <v>2.931</v>
      </c>
      <c r="H8" s="6">
        <v>-2618.81325553337</v>
      </c>
      <c r="I8" s="4">
        <f t="shared" si="0"/>
        <v>552.0338681774</v>
      </c>
      <c r="J8" s="4">
        <f t="shared" si="1"/>
        <v>-2900.1118420729999</v>
      </c>
      <c r="K8" s="4">
        <f t="shared" si="2"/>
        <v>2037.1908759999999</v>
      </c>
      <c r="L8" s="4">
        <f t="shared" si="3"/>
        <v>9471.5444377200001</v>
      </c>
      <c r="M8" s="4">
        <f t="shared" si="4"/>
        <v>546.60971049409363</v>
      </c>
      <c r="N8" s="4">
        <f t="shared" si="5"/>
        <v>177.31099796950832</v>
      </c>
      <c r="O8" s="4">
        <f t="shared" si="6"/>
        <v>-704.05216191471993</v>
      </c>
      <c r="P8" s="4">
        <f t="shared" si="7"/>
        <v>-1336.6691999574059</v>
      </c>
      <c r="Q8" s="4">
        <f t="shared" si="8"/>
        <v>-416.7626395324175</v>
      </c>
      <c r="R8" s="4">
        <f t="shared" si="9"/>
        <v>917.08435871627989</v>
      </c>
      <c r="S8" s="4">
        <f t="shared" si="10"/>
        <v>7308.0206757965607</v>
      </c>
      <c r="T8" s="4">
        <f t="shared" si="11"/>
        <v>-306.98630894959996</v>
      </c>
      <c r="U8" s="4">
        <f t="shared" si="12"/>
        <v>-5182.5155513046002</v>
      </c>
      <c r="V8" s="4">
        <f t="shared" si="13"/>
        <v>-12771.8646199497</v>
      </c>
      <c r="W8" s="4">
        <f t="shared" si="14"/>
        <v>-60.888613228173391</v>
      </c>
      <c r="X8" s="4">
        <f t="shared" si="15"/>
        <v>110.61773775183767</v>
      </c>
      <c r="Y8" s="4">
        <f t="shared" si="16"/>
        <v>72.362918749329594</v>
      </c>
      <c r="Z8" s="4">
        <f t="shared" si="17"/>
        <v>-1087.4658685866402</v>
      </c>
      <c r="AA8" s="4">
        <f t="shared" si="18"/>
        <v>95.966790668927587</v>
      </c>
      <c r="AB8" s="4">
        <f t="shared" si="19"/>
        <v>-649.54876944726118</v>
      </c>
      <c r="AC8" s="4">
        <f t="shared" si="20"/>
        <v>7.1301017561856916</v>
      </c>
      <c r="AD8" s="4">
        <f t="shared" si="21"/>
        <v>721.76104791003399</v>
      </c>
      <c r="AE8" s="4">
        <f t="shared" si="22"/>
        <v>596.86591650269179</v>
      </c>
      <c r="AF8" s="4">
        <f t="shared" si="23"/>
        <v>1220.58903023468</v>
      </c>
      <c r="AG8" s="4">
        <f t="shared" si="24"/>
        <v>-88.595935644841035</v>
      </c>
      <c r="AH8" s="4">
        <f t="shared" si="25"/>
        <v>471.91557552049761</v>
      </c>
      <c r="AI8" s="4">
        <f t="shared" si="26"/>
        <v>490.63527918159929</v>
      </c>
      <c r="AJ8" s="4">
        <f t="shared" si="27"/>
        <v>-64.07780976304862</v>
      </c>
      <c r="AK8" s="4">
        <f t="shared" si="28"/>
        <v>-1844.3037812717921</v>
      </c>
      <c r="AL8" s="4">
        <f t="shared" si="29"/>
        <v>-5903.5143299000165</v>
      </c>
      <c r="AM8" s="4">
        <f t="shared" si="30"/>
        <v>-191.46506064252799</v>
      </c>
      <c r="AN8" s="4">
        <f t="shared" si="31"/>
        <v>700.99961701713949</v>
      </c>
      <c r="AO8" s="4">
        <f t="shared" si="32"/>
        <v>4416.4655643281485</v>
      </c>
      <c r="AP8" s="4">
        <f t="shared" si="33"/>
        <v>7540.7065959549454</v>
      </c>
      <c r="AQ8" s="4">
        <f t="shared" si="34"/>
        <v>1.4769306623519078</v>
      </c>
      <c r="AR8" s="4">
        <f t="shared" si="35"/>
        <v>-13.589795419471935</v>
      </c>
      <c r="AS8" s="4">
        <f t="shared" si="36"/>
        <v>0.4747769792234881</v>
      </c>
      <c r="AT8" s="4">
        <f t="shared" si="37"/>
        <v>65.466578600167026</v>
      </c>
      <c r="AU8" s="4">
        <f t="shared" si="38"/>
        <v>19.993110941689295</v>
      </c>
      <c r="AV8" s="4">
        <f t="shared" si="39"/>
        <v>-0.21486180794443635</v>
      </c>
      <c r="AW8" s="4">
        <f t="shared" si="40"/>
        <v>-118.61691141276526</v>
      </c>
      <c r="AX8" s="4">
        <f t="shared" si="41"/>
        <v>-135.4571559521641</v>
      </c>
      <c r="AY8" s="4">
        <f t="shared" si="42"/>
        <v>140.69950756265027</v>
      </c>
      <c r="AZ8" s="4">
        <f t="shared" si="43"/>
        <v>459.92285337027528</v>
      </c>
      <c r="BA8" s="4">
        <f t="shared" si="44"/>
        <v>-2.1045783398643803</v>
      </c>
      <c r="BB8" s="4">
        <f t="shared" si="45"/>
        <v>-90.367374841827726</v>
      </c>
      <c r="BC8" s="4">
        <f t="shared" si="46"/>
        <v>-22.852318634388677</v>
      </c>
      <c r="BD8" s="4">
        <f t="shared" si="47"/>
        <v>260.11620029307983</v>
      </c>
      <c r="BE8" s="4">
        <f t="shared" si="48"/>
        <v>332.92032969047057</v>
      </c>
      <c r="BF8" s="4">
        <f t="shared" si="49"/>
        <v>-106.5154456112442</v>
      </c>
      <c r="BG8" s="4">
        <f t="shared" si="50"/>
        <v>-72.591157670019342</v>
      </c>
      <c r="BH8" s="4">
        <f t="shared" si="51"/>
        <v>-556.09020080418986</v>
      </c>
      <c r="BI8" s="4">
        <f t="shared" si="52"/>
        <v>-32.485313272401982</v>
      </c>
      <c r="BJ8" s="4">
        <f t="shared" si="53"/>
        <v>-388.17617039021547</v>
      </c>
      <c r="BK8" s="4">
        <f t="shared" si="54"/>
        <v>0.73264625185221544</v>
      </c>
      <c r="BL8" s="4">
        <f t="shared" si="55"/>
        <v>38.295450578861377</v>
      </c>
      <c r="BM8" s="4">
        <f t="shared" si="56"/>
        <v>40.164821289587785</v>
      </c>
      <c r="BN8" s="4">
        <f t="shared" si="57"/>
        <v>-73.781930539255214</v>
      </c>
      <c r="BO8" s="4">
        <f t="shared" si="58"/>
        <v>-344.00074733853717</v>
      </c>
      <c r="BP8" s="4">
        <f t="shared" si="59"/>
        <v>-100.82378582699359</v>
      </c>
      <c r="BQ8" s="4">
        <f t="shared" si="60"/>
        <v>-79.535753447866014</v>
      </c>
      <c r="BR8" s="4">
        <f t="shared" si="61"/>
        <v>204.88846480210026</v>
      </c>
      <c r="BS8" s="4">
        <f t="shared" si="62"/>
        <v>806.51260186801051</v>
      </c>
      <c r="BT8" s="4">
        <f t="shared" si="63"/>
        <v>1529.1323158809321</v>
      </c>
      <c r="BU8" s="4">
        <f t="shared" si="64"/>
        <v>25.463786045897081</v>
      </c>
      <c r="BV8" s="4">
        <f t="shared" si="65"/>
        <v>187.49591054750348</v>
      </c>
      <c r="BW8" s="4">
        <f t="shared" si="66"/>
        <v>-457.15310090146926</v>
      </c>
      <c r="BX8" s="4">
        <f t="shared" si="67"/>
        <v>-1202.9804095194452</v>
      </c>
      <c r="BY8" s="4">
        <f t="shared" si="68"/>
        <v>-1644.7160831357144</v>
      </c>
      <c r="BZ8" s="6">
        <f t="shared" si="69"/>
        <v>-0.12145675038073023</v>
      </c>
      <c r="CA8" s="7"/>
      <c r="CB8" s="6">
        <v>-0.12146144102598561</v>
      </c>
      <c r="CC8" s="6"/>
    </row>
    <row r="9" spans="1:81" x14ac:dyDescent="0.3">
      <c r="A9" s="4">
        <v>7</v>
      </c>
      <c r="B9" s="4">
        <v>118721502</v>
      </c>
      <c r="C9" s="4">
        <v>6.4509999999999996</v>
      </c>
      <c r="D9" s="4">
        <v>9.7050000000000001</v>
      </c>
      <c r="E9" s="4">
        <v>0.80100000000000005</v>
      </c>
      <c r="F9" s="4">
        <v>3.8660000000000001</v>
      </c>
      <c r="H9" s="6">
        <v>-2618.81325553337</v>
      </c>
      <c r="I9" s="4">
        <f t="shared" si="0"/>
        <v>299.40898634709998</v>
      </c>
      <c r="J9" s="4">
        <f t="shared" si="1"/>
        <v>-4776.1047730050004</v>
      </c>
      <c r="K9" s="4">
        <f t="shared" si="2"/>
        <v>1897.4301066</v>
      </c>
      <c r="L9" s="4">
        <f t="shared" si="3"/>
        <v>12493.002659920001</v>
      </c>
      <c r="M9" s="4">
        <f t="shared" si="4"/>
        <v>160.79611743248881</v>
      </c>
      <c r="N9" s="4">
        <f t="shared" si="5"/>
        <v>158.37764485779283</v>
      </c>
      <c r="O9" s="4">
        <f t="shared" si="6"/>
        <v>-355.66244439310793</v>
      </c>
      <c r="P9" s="4">
        <f t="shared" si="7"/>
        <v>-956.24478562411389</v>
      </c>
      <c r="Q9" s="4">
        <f t="shared" si="8"/>
        <v>-1130.3344840764375</v>
      </c>
      <c r="R9" s="4">
        <f t="shared" si="9"/>
        <v>1406.7031173711298</v>
      </c>
      <c r="S9" s="4">
        <f t="shared" si="10"/>
        <v>15874.676990787513</v>
      </c>
      <c r="T9" s="4">
        <f t="shared" si="11"/>
        <v>-266.309792872326</v>
      </c>
      <c r="U9" s="4">
        <f t="shared" si="12"/>
        <v>-6366.7927059564608</v>
      </c>
      <c r="V9" s="4">
        <f t="shared" si="13"/>
        <v>-22220.118409501199</v>
      </c>
      <c r="W9" s="4">
        <f t="shared" si="14"/>
        <v>-9.7147897531083398</v>
      </c>
      <c r="X9" s="4">
        <f t="shared" si="15"/>
        <v>53.58979386764225</v>
      </c>
      <c r="Y9" s="4">
        <f t="shared" si="16"/>
        <v>19.826605078088985</v>
      </c>
      <c r="Z9" s="4">
        <f t="shared" si="17"/>
        <v>-421.94892202353412</v>
      </c>
      <c r="AA9" s="4">
        <f t="shared" si="18"/>
        <v>141.16865479579252</v>
      </c>
      <c r="AB9" s="4">
        <f t="shared" si="19"/>
        <v>-540.38593342841011</v>
      </c>
      <c r="AC9" s="4">
        <f t="shared" si="20"/>
        <v>8.4003999849154845</v>
      </c>
      <c r="AD9" s="4">
        <f t="shared" si="21"/>
        <v>339.5945233185995</v>
      </c>
      <c r="AE9" s="4">
        <f t="shared" si="22"/>
        <v>397.70035937167813</v>
      </c>
      <c r="AF9" s="4">
        <f t="shared" si="23"/>
        <v>1151.7563961962717</v>
      </c>
      <c r="AG9" s="4">
        <f t="shared" si="24"/>
        <v>-395.72281964022943</v>
      </c>
      <c r="AH9" s="4">
        <f t="shared" si="25"/>
        <v>1192.1106655182134</v>
      </c>
      <c r="AI9" s="4">
        <f t="shared" si="26"/>
        <v>1755.185415370431</v>
      </c>
      <c r="AJ9" s="4">
        <f t="shared" si="27"/>
        <v>-91.545054395185403</v>
      </c>
      <c r="AK9" s="4">
        <f t="shared" si="28"/>
        <v>-3731.398661322522</v>
      </c>
      <c r="AL9" s="4">
        <f t="shared" si="29"/>
        <v>-16914.601984009201</v>
      </c>
      <c r="AM9" s="4">
        <f t="shared" si="30"/>
        <v>-154.70050384403041</v>
      </c>
      <c r="AN9" s="4">
        <f t="shared" si="31"/>
        <v>802.10632620582953</v>
      </c>
      <c r="AO9" s="4">
        <f t="shared" si="32"/>
        <v>7156.5049481201186</v>
      </c>
      <c r="AP9" s="4">
        <f t="shared" si="33"/>
        <v>17304.144647195</v>
      </c>
      <c r="AQ9" s="4">
        <f t="shared" si="34"/>
        <v>0.12780755826794776</v>
      </c>
      <c r="AR9" s="4">
        <f t="shared" si="35"/>
        <v>-3.5708313643815028</v>
      </c>
      <c r="AS9" s="4">
        <f t="shared" si="36"/>
        <v>7.0553902558020201E-2</v>
      </c>
      <c r="AT9" s="4">
        <f t="shared" si="37"/>
        <v>13.777264587512272</v>
      </c>
      <c r="AU9" s="4">
        <f t="shared" si="38"/>
        <v>15.951325916911737</v>
      </c>
      <c r="AV9" s="4">
        <f t="shared" si="39"/>
        <v>-9.6950623114665763E-2</v>
      </c>
      <c r="AW9" s="4">
        <f t="shared" si="40"/>
        <v>-75.796640475735174</v>
      </c>
      <c r="AX9" s="4">
        <f t="shared" si="41"/>
        <v>-34.567525994005173</v>
      </c>
      <c r="AY9" s="4">
        <f t="shared" si="42"/>
        <v>50.84765033269715</v>
      </c>
      <c r="AZ9" s="4">
        <f t="shared" si="43"/>
        <v>235.38309445534387</v>
      </c>
      <c r="BA9" s="4">
        <f t="shared" si="44"/>
        <v>-5.0984891565443009</v>
      </c>
      <c r="BB9" s="4">
        <f t="shared" si="45"/>
        <v>-123.8120846901876</v>
      </c>
      <c r="BC9" s="4">
        <f t="shared" si="46"/>
        <v>-44.339787471000875</v>
      </c>
      <c r="BD9" s="4">
        <f t="shared" si="47"/>
        <v>201.55507478817256</v>
      </c>
      <c r="BE9" s="4">
        <f t="shared" si="48"/>
        <v>365.32434852570015</v>
      </c>
      <c r="BF9" s="4">
        <f t="shared" si="49"/>
        <v>-165.52471830682825</v>
      </c>
      <c r="BG9" s="4">
        <f t="shared" si="50"/>
        <v>-31.811564237995068</v>
      </c>
      <c r="BH9" s="4">
        <f t="shared" si="51"/>
        <v>-345.11076853568295</v>
      </c>
      <c r="BI9" s="4">
        <f t="shared" si="52"/>
        <v>-28.550406383220359</v>
      </c>
      <c r="BJ9" s="4">
        <f t="shared" si="53"/>
        <v>-483.13229914076828</v>
      </c>
      <c r="BK9" s="4">
        <f t="shared" si="54"/>
        <v>5.3892797358105895</v>
      </c>
      <c r="BL9" s="4">
        <f t="shared" si="55"/>
        <v>159.31568839591262</v>
      </c>
      <c r="BM9" s="4">
        <f t="shared" si="56"/>
        <v>236.62965257426546</v>
      </c>
      <c r="BN9" s="4">
        <f t="shared" si="57"/>
        <v>-173.59465197529721</v>
      </c>
      <c r="BO9" s="4">
        <f t="shared" si="58"/>
        <v>-1146.1928089445516</v>
      </c>
      <c r="BP9" s="4">
        <f t="shared" si="59"/>
        <v>-475.74393507080492</v>
      </c>
      <c r="BQ9" s="4">
        <f t="shared" si="60"/>
        <v>-105.83363009353877</v>
      </c>
      <c r="BR9" s="4">
        <f t="shared" si="61"/>
        <v>386.09196886927089</v>
      </c>
      <c r="BS9" s="4">
        <f t="shared" si="62"/>
        <v>2152.2681736428112</v>
      </c>
      <c r="BT9" s="4">
        <f t="shared" si="63"/>
        <v>5778.861140001045</v>
      </c>
      <c r="BU9" s="4">
        <f t="shared" si="64"/>
        <v>19.162811868600723</v>
      </c>
      <c r="BV9" s="4">
        <f t="shared" si="65"/>
        <v>199.82049275157803</v>
      </c>
      <c r="BW9" s="4">
        <f t="shared" si="66"/>
        <v>-689.95674102535224</v>
      </c>
      <c r="BX9" s="4">
        <f t="shared" si="67"/>
        <v>-2571.1695344509262</v>
      </c>
      <c r="BY9" s="4">
        <f t="shared" si="68"/>
        <v>-4978.2312223538065</v>
      </c>
      <c r="BZ9" s="6">
        <f t="shared" si="69"/>
        <v>0.52677657309050119</v>
      </c>
      <c r="CA9" s="7"/>
      <c r="CB9" s="6">
        <v>0.52676126807546098</v>
      </c>
      <c r="CC9" s="6"/>
    </row>
    <row r="10" spans="1:81" x14ac:dyDescent="0.3">
      <c r="A10" s="4">
        <v>8</v>
      </c>
      <c r="B10" s="4">
        <v>118721501</v>
      </c>
      <c r="C10" s="4">
        <v>5.7309999999999999</v>
      </c>
      <c r="D10" s="4">
        <v>9.2050000000000001</v>
      </c>
      <c r="E10" s="4">
        <v>0.80100000000000005</v>
      </c>
      <c r="F10" s="4">
        <v>3.8660000000000001</v>
      </c>
      <c r="H10" s="6">
        <v>-2618.81325553337</v>
      </c>
      <c r="I10" s="4">
        <f t="shared" si="0"/>
        <v>265.9917688351</v>
      </c>
      <c r="J10" s="4">
        <f t="shared" si="1"/>
        <v>-4530.0406425050005</v>
      </c>
      <c r="K10" s="4">
        <f t="shared" si="2"/>
        <v>1897.4301066</v>
      </c>
      <c r="L10" s="4">
        <f t="shared" si="3"/>
        <v>12493.002659920001</v>
      </c>
      <c r="M10" s="4">
        <f t="shared" si="4"/>
        <v>126.90603962583603</v>
      </c>
      <c r="N10" s="4">
        <f t="shared" si="5"/>
        <v>133.45212703715583</v>
      </c>
      <c r="O10" s="4">
        <f t="shared" si="6"/>
        <v>-315.96674450734798</v>
      </c>
      <c r="P10" s="4">
        <f t="shared" si="7"/>
        <v>-849.51772847803397</v>
      </c>
      <c r="Q10" s="4">
        <f t="shared" si="8"/>
        <v>-1016.8654309139376</v>
      </c>
      <c r="R10" s="4">
        <f t="shared" si="9"/>
        <v>1334.2300046781299</v>
      </c>
      <c r="S10" s="4">
        <f t="shared" si="10"/>
        <v>15056.816249376512</v>
      </c>
      <c r="T10" s="4">
        <f t="shared" si="11"/>
        <v>-266.309792872326</v>
      </c>
      <c r="U10" s="4">
        <f t="shared" si="12"/>
        <v>-6366.7927059564608</v>
      </c>
      <c r="V10" s="4">
        <f t="shared" si="13"/>
        <v>-22220.118409501199</v>
      </c>
      <c r="W10" s="4">
        <f t="shared" si="14"/>
        <v>-6.8115116814507948</v>
      </c>
      <c r="X10" s="4">
        <f t="shared" si="15"/>
        <v>40.115949209400853</v>
      </c>
      <c r="Y10" s="4">
        <f t="shared" si="16"/>
        <v>15.647864947623306</v>
      </c>
      <c r="Z10" s="4">
        <f t="shared" si="17"/>
        <v>-333.01716156722375</v>
      </c>
      <c r="AA10" s="4">
        <f t="shared" si="18"/>
        <v>112.82313133096042</v>
      </c>
      <c r="AB10" s="4">
        <f t="shared" si="19"/>
        <v>-455.3398448482601</v>
      </c>
      <c r="AC10" s="4">
        <f t="shared" si="20"/>
        <v>7.0783426976481074</v>
      </c>
      <c r="AD10" s="4">
        <f t="shared" si="21"/>
        <v>301.69217379303882</v>
      </c>
      <c r="AE10" s="4">
        <f t="shared" si="22"/>
        <v>353.31278244599093</v>
      </c>
      <c r="AF10" s="4">
        <f t="shared" si="23"/>
        <v>1023.2081702993077</v>
      </c>
      <c r="AG10" s="4">
        <f t="shared" si="24"/>
        <v>-337.65707517288507</v>
      </c>
      <c r="AH10" s="4">
        <f t="shared" si="25"/>
        <v>1072.4401871006744</v>
      </c>
      <c r="AI10" s="4">
        <f t="shared" si="26"/>
        <v>1578.9904659883116</v>
      </c>
      <c r="AJ10" s="4">
        <f t="shared" si="27"/>
        <v>-86.82866828518101</v>
      </c>
      <c r="AK10" s="4">
        <f t="shared" si="28"/>
        <v>-3539.1576174625266</v>
      </c>
      <c r="AL10" s="4">
        <f t="shared" si="29"/>
        <v>-16043.164478393066</v>
      </c>
      <c r="AM10" s="4">
        <f t="shared" si="30"/>
        <v>-154.70050384403041</v>
      </c>
      <c r="AN10" s="4">
        <f t="shared" si="31"/>
        <v>802.10632620582953</v>
      </c>
      <c r="AO10" s="4">
        <f t="shared" si="32"/>
        <v>7156.5049481201186</v>
      </c>
      <c r="AP10" s="4">
        <f t="shared" si="33"/>
        <v>17304.144647195</v>
      </c>
      <c r="AQ10" s="4">
        <f t="shared" si="34"/>
        <v>7.9610436307692864E-2</v>
      </c>
      <c r="AR10" s="4">
        <f t="shared" si="35"/>
        <v>-2.3746942111086318</v>
      </c>
      <c r="AS10" s="4">
        <f t="shared" si="36"/>
        <v>4.946877324773085E-2</v>
      </c>
      <c r="AT10" s="4">
        <f t="shared" si="37"/>
        <v>9.659910410953767</v>
      </c>
      <c r="AU10" s="4">
        <f t="shared" si="38"/>
        <v>11.325568938811054</v>
      </c>
      <c r="AV10" s="4">
        <f t="shared" si="39"/>
        <v>-7.2574757094485701E-2</v>
      </c>
      <c r="AW10" s="4">
        <f t="shared" si="40"/>
        <v>-56.739426672879382</v>
      </c>
      <c r="AX10" s="4">
        <f t="shared" si="41"/>
        <v>-27.281926290317124</v>
      </c>
      <c r="AY10" s="4">
        <f t="shared" si="42"/>
        <v>40.130781955672504</v>
      </c>
      <c r="AZ10" s="4">
        <f t="shared" si="43"/>
        <v>185.77274619048876</v>
      </c>
      <c r="BA10" s="4">
        <f t="shared" si="44"/>
        <v>-3.8648231501448453</v>
      </c>
      <c r="BB10" s="4">
        <f t="shared" si="45"/>
        <v>-98.95162004318658</v>
      </c>
      <c r="BC10" s="4">
        <f t="shared" si="46"/>
        <v>-35.436716969953764</v>
      </c>
      <c r="BD10" s="4">
        <f t="shared" si="47"/>
        <v>169.83428102978991</v>
      </c>
      <c r="BE10" s="4">
        <f t="shared" si="48"/>
        <v>307.82950089321952</v>
      </c>
      <c r="BF10" s="4">
        <f t="shared" si="49"/>
        <v>-139.47439207791311</v>
      </c>
      <c r="BG10" s="4">
        <f t="shared" si="50"/>
        <v>-28.261056370787433</v>
      </c>
      <c r="BH10" s="4">
        <f t="shared" si="51"/>
        <v>-306.59274755510751</v>
      </c>
      <c r="BI10" s="4">
        <f t="shared" si="52"/>
        <v>-25.363878310686083</v>
      </c>
      <c r="BJ10" s="4">
        <f t="shared" si="53"/>
        <v>-429.20961190137081</v>
      </c>
      <c r="BK10" s="4">
        <f t="shared" si="54"/>
        <v>4.3615789597277264</v>
      </c>
      <c r="BL10" s="4">
        <f t="shared" si="55"/>
        <v>135.9387599174224</v>
      </c>
      <c r="BM10" s="4">
        <f t="shared" si="56"/>
        <v>201.90818527989632</v>
      </c>
      <c r="BN10" s="4">
        <f t="shared" si="57"/>
        <v>-156.16828741577922</v>
      </c>
      <c r="BO10" s="4">
        <f t="shared" si="58"/>
        <v>-1031.1318118637889</v>
      </c>
      <c r="BP10" s="4">
        <f t="shared" si="59"/>
        <v>-427.98620085959629</v>
      </c>
      <c r="BQ10" s="4">
        <f t="shared" si="60"/>
        <v>-100.38109891921943</v>
      </c>
      <c r="BR10" s="4">
        <f t="shared" si="61"/>
        <v>366.20057428558874</v>
      </c>
      <c r="BS10" s="4">
        <f t="shared" si="62"/>
        <v>2041.3836721671387</v>
      </c>
      <c r="BT10" s="4">
        <f t="shared" si="63"/>
        <v>5481.135166791305</v>
      </c>
      <c r="BU10" s="4">
        <f t="shared" si="64"/>
        <v>19.162811868600723</v>
      </c>
      <c r="BV10" s="4">
        <f t="shared" si="65"/>
        <v>199.82049275157803</v>
      </c>
      <c r="BW10" s="4">
        <f t="shared" si="66"/>
        <v>-689.95674102535224</v>
      </c>
      <c r="BX10" s="4">
        <f t="shared" si="67"/>
        <v>-2571.1695344509262</v>
      </c>
      <c r="BY10" s="4">
        <f t="shared" si="68"/>
        <v>-4978.2312223538065</v>
      </c>
      <c r="BZ10" s="6">
        <f t="shared" si="69"/>
        <v>0.73711933507274807</v>
      </c>
      <c r="CA10" s="7"/>
      <c r="CB10" s="6">
        <v>0.73710568393198628</v>
      </c>
      <c r="CC10" s="6"/>
    </row>
    <row r="11" spans="1:81" x14ac:dyDescent="0.3">
      <c r="A11" s="4">
        <v>9</v>
      </c>
      <c r="B11" s="4">
        <v>118723244</v>
      </c>
      <c r="C11" s="4">
        <v>18.111000000000001</v>
      </c>
      <c r="D11" s="4">
        <v>6.7759999999999998</v>
      </c>
      <c r="E11" s="4">
        <v>0.94199999999999995</v>
      </c>
      <c r="F11" s="4">
        <v>3.3660000000000001</v>
      </c>
      <c r="H11" s="6">
        <v>-2618.81325553337</v>
      </c>
      <c r="I11" s="4">
        <f t="shared" si="0"/>
        <v>840.58225883310001</v>
      </c>
      <c r="J11" s="4">
        <f t="shared" si="1"/>
        <v>-3334.6610965360001</v>
      </c>
      <c r="K11" s="4">
        <f t="shared" si="2"/>
        <v>2231.4346571999999</v>
      </c>
      <c r="L11" s="4">
        <f t="shared" si="3"/>
        <v>10877.24959992</v>
      </c>
      <c r="M11" s="4">
        <f t="shared" si="4"/>
        <v>1267.3785001458834</v>
      </c>
      <c r="N11" s="4">
        <f t="shared" si="5"/>
        <v>310.44675653540469</v>
      </c>
      <c r="O11" s="4">
        <f t="shared" si="6"/>
        <v>-1174.2803250006959</v>
      </c>
      <c r="P11" s="4">
        <f t="shared" si="7"/>
        <v>-2337.4198647108542</v>
      </c>
      <c r="Q11" s="4">
        <f t="shared" si="8"/>
        <v>-551.01407482351999</v>
      </c>
      <c r="R11" s="4">
        <f t="shared" si="9"/>
        <v>1155.044440785312</v>
      </c>
      <c r="S11" s="4">
        <f t="shared" si="10"/>
        <v>9650.1711722058717</v>
      </c>
      <c r="T11" s="4">
        <f t="shared" si="11"/>
        <v>-368.31881970626398</v>
      </c>
      <c r="U11" s="4">
        <f t="shared" si="12"/>
        <v>-6519.1557765193211</v>
      </c>
      <c r="V11" s="4">
        <f t="shared" si="13"/>
        <v>-16844.2195263012</v>
      </c>
      <c r="W11" s="4">
        <f t="shared" si="14"/>
        <v>-214.9708492219535</v>
      </c>
      <c r="X11" s="4">
        <f t="shared" si="15"/>
        <v>294.91083004775345</v>
      </c>
      <c r="Y11" s="4">
        <f t="shared" si="16"/>
        <v>183.77969232833081</v>
      </c>
      <c r="Z11" s="4">
        <f t="shared" si="17"/>
        <v>-2895.629023553553</v>
      </c>
      <c r="AA11" s="4">
        <f t="shared" si="18"/>
        <v>193.20100454516071</v>
      </c>
      <c r="AB11" s="4">
        <f t="shared" si="19"/>
        <v>-1245.7063220669518</v>
      </c>
      <c r="AC11" s="4">
        <f t="shared" si="20"/>
        <v>14.33657706971117</v>
      </c>
      <c r="AD11" s="4">
        <f t="shared" si="21"/>
        <v>1318.5992968132339</v>
      </c>
      <c r="AE11" s="4">
        <f t="shared" si="22"/>
        <v>1143.2521341329298</v>
      </c>
      <c r="AF11" s="4">
        <f t="shared" si="23"/>
        <v>2451.2101445829621</v>
      </c>
      <c r="AG11" s="4">
        <f t="shared" si="24"/>
        <v>-134.68668617474131</v>
      </c>
      <c r="AH11" s="4">
        <f t="shared" si="25"/>
        <v>683.42470727022146</v>
      </c>
      <c r="AI11" s="4">
        <f t="shared" si="26"/>
        <v>744.95661109543175</v>
      </c>
      <c r="AJ11" s="4">
        <f t="shared" si="27"/>
        <v>-88.399440867901347</v>
      </c>
      <c r="AK11" s="4">
        <f t="shared" si="28"/>
        <v>-2667.5966149213327</v>
      </c>
      <c r="AL11" s="4">
        <f t="shared" si="29"/>
        <v>-8952.4965926968835</v>
      </c>
      <c r="AM11" s="4">
        <f t="shared" si="30"/>
        <v>-251.62100247748688</v>
      </c>
      <c r="AN11" s="4">
        <f t="shared" si="31"/>
        <v>965.87511507462648</v>
      </c>
      <c r="AO11" s="4">
        <f t="shared" si="32"/>
        <v>6380.0471239664648</v>
      </c>
      <c r="AP11" s="4">
        <f t="shared" si="33"/>
        <v>11421.073399251691</v>
      </c>
      <c r="AQ11" s="4">
        <f t="shared" si="34"/>
        <v>7.9399559415338015</v>
      </c>
      <c r="AR11" s="4">
        <f t="shared" si="35"/>
        <v>-55.168778003470457</v>
      </c>
      <c r="AS11" s="4">
        <f t="shared" si="36"/>
        <v>1.8360546072983939</v>
      </c>
      <c r="AT11" s="4">
        <f t="shared" si="37"/>
        <v>265.43697963694461</v>
      </c>
      <c r="AU11" s="4">
        <f t="shared" si="38"/>
        <v>61.289105245296575</v>
      </c>
      <c r="AV11" s="4">
        <f t="shared" si="39"/>
        <v>-0.62744783679993854</v>
      </c>
      <c r="AW11" s="4">
        <f t="shared" si="40"/>
        <v>-363.17074237278115</v>
      </c>
      <c r="AX11" s="4">
        <f t="shared" si="41"/>
        <v>-376.82165171467818</v>
      </c>
      <c r="AY11" s="4">
        <f t="shared" si="42"/>
        <v>410.36689195118805</v>
      </c>
      <c r="AZ11" s="4">
        <f t="shared" si="43"/>
        <v>1406.4055424904523</v>
      </c>
      <c r="BA11" s="4">
        <f t="shared" si="44"/>
        <v>-4.8718113341747129</v>
      </c>
      <c r="BB11" s="4">
        <f t="shared" si="45"/>
        <v>-199.27486642446581</v>
      </c>
      <c r="BC11" s="4">
        <f t="shared" si="46"/>
        <v>-52.834423493492849</v>
      </c>
      <c r="BD11" s="4">
        <f t="shared" si="47"/>
        <v>546.41643949550337</v>
      </c>
      <c r="BE11" s="4">
        <f t="shared" si="48"/>
        <v>733.23386235687315</v>
      </c>
      <c r="BF11" s="4">
        <f t="shared" si="49"/>
        <v>-245.95781577021808</v>
      </c>
      <c r="BG11" s="4">
        <f t="shared" si="50"/>
        <v>-145.26318881748799</v>
      </c>
      <c r="BH11" s="4">
        <f t="shared" si="51"/>
        <v>-1166.7100392870661</v>
      </c>
      <c r="BI11" s="4">
        <f t="shared" si="52"/>
        <v>-71.457956694754415</v>
      </c>
      <c r="BJ11" s="4">
        <f t="shared" si="53"/>
        <v>-895.23746158464519</v>
      </c>
      <c r="BK11" s="4">
        <f t="shared" si="54"/>
        <v>1.2806845109712279</v>
      </c>
      <c r="BL11" s="4">
        <f t="shared" si="55"/>
        <v>63.769131762888783</v>
      </c>
      <c r="BM11" s="4">
        <f t="shared" si="56"/>
        <v>70.122114057178308</v>
      </c>
      <c r="BN11" s="4">
        <f t="shared" si="57"/>
        <v>-117.03852236990647</v>
      </c>
      <c r="BO11" s="4">
        <f t="shared" si="58"/>
        <v>-572.11593374976428</v>
      </c>
      <c r="BP11" s="4">
        <f t="shared" si="59"/>
        <v>-175.80592176857365</v>
      </c>
      <c r="BQ11" s="4">
        <f t="shared" si="60"/>
        <v>-120.18678291519103</v>
      </c>
      <c r="BR11" s="4">
        <f t="shared" si="61"/>
        <v>324.60683551540245</v>
      </c>
      <c r="BS11" s="4">
        <f t="shared" si="62"/>
        <v>1339.6679017640934</v>
      </c>
      <c r="BT11" s="4">
        <f t="shared" si="63"/>
        <v>2663.0351718392076</v>
      </c>
      <c r="BU11" s="4">
        <f t="shared" si="64"/>
        <v>36.654962771927082</v>
      </c>
      <c r="BV11" s="4">
        <f t="shared" si="65"/>
        <v>282.97459542162301</v>
      </c>
      <c r="BW11" s="4">
        <f t="shared" si="66"/>
        <v>-723.37444050346619</v>
      </c>
      <c r="BX11" s="4">
        <f t="shared" si="67"/>
        <v>-1995.7488426166522</v>
      </c>
      <c r="BY11" s="4">
        <f t="shared" si="68"/>
        <v>-2860.777701996718</v>
      </c>
      <c r="BZ11" s="6">
        <f t="shared" si="69"/>
        <v>0.57665080613514874</v>
      </c>
      <c r="CA11" s="7"/>
      <c r="CB11" s="6">
        <v>0.57664076203082004</v>
      </c>
      <c r="CC11" s="6"/>
    </row>
    <row r="12" spans="1:81" x14ac:dyDescent="0.3">
      <c r="A12" s="4">
        <v>10</v>
      </c>
      <c r="B12" s="4">
        <v>44446336</v>
      </c>
      <c r="C12" s="4">
        <v>9.6329999999999991</v>
      </c>
      <c r="D12" s="4">
        <v>5.492</v>
      </c>
      <c r="E12" s="4">
        <v>0.98299999999999998</v>
      </c>
      <c r="F12" s="4">
        <v>2.8959999999999999</v>
      </c>
      <c r="H12" s="6">
        <v>-2618.81325553337</v>
      </c>
      <c r="I12" s="4">
        <f t="shared" si="0"/>
        <v>447.09452262929995</v>
      </c>
      <c r="J12" s="4">
        <f t="shared" si="1"/>
        <v>-2702.768409412</v>
      </c>
      <c r="K12" s="4">
        <f t="shared" si="2"/>
        <v>2328.5565477999999</v>
      </c>
      <c r="L12" s="4">
        <f t="shared" si="3"/>
        <v>9358.4417235199999</v>
      </c>
      <c r="M12" s="4">
        <f t="shared" si="4"/>
        <v>358.54576313118491</v>
      </c>
      <c r="N12" s="4">
        <f t="shared" si="5"/>
        <v>133.83305379106568</v>
      </c>
      <c r="O12" s="4">
        <f t="shared" si="6"/>
        <v>-651.76874304781188</v>
      </c>
      <c r="P12" s="4">
        <f t="shared" si="7"/>
        <v>-1069.6465781994718</v>
      </c>
      <c r="Q12" s="4">
        <f t="shared" si="8"/>
        <v>-361.97364817627999</v>
      </c>
      <c r="R12" s="4">
        <f t="shared" si="9"/>
        <v>976.91873961669592</v>
      </c>
      <c r="S12" s="4">
        <f t="shared" si="10"/>
        <v>6729.4038756013451</v>
      </c>
      <c r="T12" s="4">
        <f t="shared" si="11"/>
        <v>-401.07827675581399</v>
      </c>
      <c r="U12" s="4">
        <f t="shared" si="12"/>
        <v>-5852.9985920180798</v>
      </c>
      <c r="V12" s="4">
        <f t="shared" si="13"/>
        <v>-12468.660057523199</v>
      </c>
      <c r="W12" s="4">
        <f t="shared" si="14"/>
        <v>-32.347219923369636</v>
      </c>
      <c r="X12" s="4">
        <f t="shared" si="15"/>
        <v>67.621704281103291</v>
      </c>
      <c r="Y12" s="4">
        <f t="shared" si="16"/>
        <v>54.254828447362677</v>
      </c>
      <c r="Z12" s="4">
        <f t="shared" si="17"/>
        <v>-704.79956331841731</v>
      </c>
      <c r="AA12" s="4">
        <f t="shared" si="18"/>
        <v>67.506061758706082</v>
      </c>
      <c r="AB12" s="4">
        <f t="shared" si="19"/>
        <v>-560.39537781079184</v>
      </c>
      <c r="AC12" s="4">
        <f t="shared" si="20"/>
        <v>5.3174838620642033</v>
      </c>
      <c r="AD12" s="4">
        <f t="shared" si="21"/>
        <v>763.72533841048914</v>
      </c>
      <c r="AE12" s="4">
        <f t="shared" si="22"/>
        <v>545.94414330896052</v>
      </c>
      <c r="AF12" s="4">
        <f t="shared" si="23"/>
        <v>965.09166933757876</v>
      </c>
      <c r="AG12" s="4">
        <f t="shared" si="24"/>
        <v>-71.712697905089399</v>
      </c>
      <c r="AH12" s="4">
        <f t="shared" si="25"/>
        <v>468.49779687717728</v>
      </c>
      <c r="AI12" s="4">
        <f t="shared" si="26"/>
        <v>421.04613685617198</v>
      </c>
      <c r="AJ12" s="4">
        <f t="shared" si="27"/>
        <v>-78.021065933601804</v>
      </c>
      <c r="AK12" s="4">
        <f t="shared" si="28"/>
        <v>-1941.1734817343583</v>
      </c>
      <c r="AL12" s="4">
        <f t="shared" si="29"/>
        <v>-5371.1859442028908</v>
      </c>
      <c r="AM12" s="4">
        <f t="shared" si="30"/>
        <v>-285.92671414072532</v>
      </c>
      <c r="AN12" s="4">
        <f t="shared" si="31"/>
        <v>904.92097124024053</v>
      </c>
      <c r="AO12" s="4">
        <f t="shared" si="32"/>
        <v>4928.2802159209159</v>
      </c>
      <c r="AP12" s="4">
        <f t="shared" si="33"/>
        <v>7273.7816555441686</v>
      </c>
      <c r="AQ12" s="4">
        <f t="shared" si="34"/>
        <v>0.63546935428742723</v>
      </c>
      <c r="AR12" s="4">
        <f t="shared" si="35"/>
        <v>-6.728339309316012</v>
      </c>
      <c r="AS12" s="4">
        <f t="shared" si="36"/>
        <v>0.28830063428407793</v>
      </c>
      <c r="AT12" s="4">
        <f t="shared" si="37"/>
        <v>34.363964520295212</v>
      </c>
      <c r="AU12" s="4">
        <f t="shared" si="38"/>
        <v>11.390316793608664</v>
      </c>
      <c r="AV12" s="4">
        <f t="shared" si="39"/>
        <v>-0.15013281650029323</v>
      </c>
      <c r="AW12" s="4">
        <f t="shared" si="40"/>
        <v>-71.645792403083817</v>
      </c>
      <c r="AX12" s="4">
        <f t="shared" si="41"/>
        <v>-116.08586407916945</v>
      </c>
      <c r="AY12" s="4">
        <f t="shared" si="42"/>
        <v>104.23117542182439</v>
      </c>
      <c r="AZ12" s="4">
        <f t="shared" si="43"/>
        <v>294.52198608013856</v>
      </c>
      <c r="BA12" s="4">
        <f t="shared" si="44"/>
        <v>-1.3796883110577618</v>
      </c>
      <c r="BB12" s="4">
        <f t="shared" si="45"/>
        <v>-72.658852358096496</v>
      </c>
      <c r="BC12" s="4">
        <f t="shared" si="46"/>
        <v>-15.883083206322539</v>
      </c>
      <c r="BD12" s="4">
        <f t="shared" si="47"/>
        <v>256.51055958061585</v>
      </c>
      <c r="BE12" s="4">
        <f t="shared" si="48"/>
        <v>283.79571598227943</v>
      </c>
      <c r="BF12" s="4">
        <f t="shared" si="49"/>
        <v>-78.488455005413854</v>
      </c>
      <c r="BG12" s="4">
        <f t="shared" si="50"/>
        <v>-87.797580597497387</v>
      </c>
      <c r="BH12" s="4">
        <f t="shared" si="51"/>
        <v>-581.39559981570028</v>
      </c>
      <c r="BI12" s="4">
        <f t="shared" si="52"/>
        <v>-29.358998051944905</v>
      </c>
      <c r="BJ12" s="4">
        <f t="shared" si="53"/>
        <v>-303.25691630873911</v>
      </c>
      <c r="BK12" s="4">
        <f t="shared" si="54"/>
        <v>0.55267609710069321</v>
      </c>
      <c r="BL12" s="4">
        <f t="shared" si="55"/>
        <v>35.431089966209228</v>
      </c>
      <c r="BM12" s="4">
        <f t="shared" si="56"/>
        <v>32.122611143349538</v>
      </c>
      <c r="BN12" s="4">
        <f t="shared" si="57"/>
        <v>-83.723682614624181</v>
      </c>
      <c r="BO12" s="4">
        <f t="shared" si="58"/>
        <v>-337.43130122292706</v>
      </c>
      <c r="BP12" s="4">
        <f t="shared" si="59"/>
        <v>-85.490263135006984</v>
      </c>
      <c r="BQ12" s="4">
        <f t="shared" si="60"/>
        <v>-110.69338969160107</v>
      </c>
      <c r="BR12" s="4">
        <f t="shared" si="61"/>
        <v>246.49293050637581</v>
      </c>
      <c r="BS12" s="4">
        <f t="shared" si="62"/>
        <v>838.73697689284302</v>
      </c>
      <c r="BT12" s="4">
        <f t="shared" si="63"/>
        <v>1374.6349172902503</v>
      </c>
      <c r="BU12" s="4">
        <f t="shared" si="64"/>
        <v>43.465356188136511</v>
      </c>
      <c r="BV12" s="4">
        <f t="shared" si="65"/>
        <v>276.65577399715573</v>
      </c>
      <c r="BW12" s="4">
        <f t="shared" si="66"/>
        <v>-583.09226631665763</v>
      </c>
      <c r="BX12" s="4">
        <f t="shared" si="67"/>
        <v>-1326.3612909816115</v>
      </c>
      <c r="BY12" s="4">
        <f t="shared" si="68"/>
        <v>-1567.5517802970876</v>
      </c>
      <c r="BZ12" s="6">
        <f t="shared" si="69"/>
        <v>0.16915022565672189</v>
      </c>
      <c r="CA12" s="7"/>
      <c r="CB12" s="6">
        <v>0.16914548605927851</v>
      </c>
      <c r="CC12" s="6"/>
    </row>
    <row r="13" spans="1:81" x14ac:dyDescent="0.3">
      <c r="A13" s="4">
        <v>11</v>
      </c>
      <c r="B13" s="4">
        <v>145974972</v>
      </c>
      <c r="C13" s="4">
        <v>5.1260000000000003</v>
      </c>
      <c r="D13" s="4">
        <v>6.6520000000000001</v>
      </c>
      <c r="E13" s="4">
        <v>0.876</v>
      </c>
      <c r="F13" s="4">
        <v>3.9550000000000001</v>
      </c>
      <c r="H13" s="6">
        <v>-2618.81325553337</v>
      </c>
      <c r="I13" s="4">
        <f t="shared" si="0"/>
        <v>237.91202356460002</v>
      </c>
      <c r="J13" s="4">
        <f t="shared" si="1"/>
        <v>-3273.6371921720001</v>
      </c>
      <c r="K13" s="4">
        <f t="shared" si="2"/>
        <v>2075.0921015999998</v>
      </c>
      <c r="L13" s="4">
        <f t="shared" si="3"/>
        <v>12780.606704600001</v>
      </c>
      <c r="M13" s="4">
        <f t="shared" si="4"/>
        <v>101.52632778757834</v>
      </c>
      <c r="N13" s="4">
        <f t="shared" si="5"/>
        <v>86.258547596877037</v>
      </c>
      <c r="O13" s="4">
        <f t="shared" si="6"/>
        <v>-309.07306504060796</v>
      </c>
      <c r="P13" s="4">
        <f t="shared" si="7"/>
        <v>-777.32972978506996</v>
      </c>
      <c r="Q13" s="4">
        <f t="shared" si="8"/>
        <v>-531.03161651708001</v>
      </c>
      <c r="R13" s="4">
        <f t="shared" si="9"/>
        <v>1054.4615320230721</v>
      </c>
      <c r="S13" s="4">
        <f t="shared" si="10"/>
        <v>11131.308935918221</v>
      </c>
      <c r="T13" s="4">
        <f t="shared" si="11"/>
        <v>-318.51531343497595</v>
      </c>
      <c r="U13" s="4">
        <f t="shared" si="12"/>
        <v>-7123.229522719801</v>
      </c>
      <c r="V13" s="4">
        <f t="shared" si="13"/>
        <v>-23254.962590842501</v>
      </c>
      <c r="W13" s="4">
        <f t="shared" si="14"/>
        <v>-4.8740287425328033</v>
      </c>
      <c r="X13" s="4">
        <f t="shared" si="15"/>
        <v>23.192197849539241</v>
      </c>
      <c r="Y13" s="4">
        <f t="shared" si="16"/>
        <v>13.690618417547528</v>
      </c>
      <c r="Z13" s="4">
        <f t="shared" si="17"/>
        <v>-272.55091210595083</v>
      </c>
      <c r="AA13" s="4">
        <f t="shared" si="18"/>
        <v>52.699104800504713</v>
      </c>
      <c r="AB13" s="4">
        <f t="shared" si="19"/>
        <v>-321.87250978299494</v>
      </c>
      <c r="AC13" s="4">
        <f t="shared" si="20"/>
        <v>4.6805066260609696</v>
      </c>
      <c r="AD13" s="4">
        <f t="shared" si="21"/>
        <v>322.74194937567074</v>
      </c>
      <c r="AE13" s="4">
        <f t="shared" si="22"/>
        <v>353.56052621746261</v>
      </c>
      <c r="AF13" s="4">
        <f t="shared" si="23"/>
        <v>957.81463587980613</v>
      </c>
      <c r="AG13" s="4">
        <f t="shared" si="24"/>
        <v>-127.42692332597342</v>
      </c>
      <c r="AH13" s="4">
        <f t="shared" si="25"/>
        <v>612.49361434368291</v>
      </c>
      <c r="AI13" s="4">
        <f t="shared" si="26"/>
        <v>843.56983454339581</v>
      </c>
      <c r="AJ13" s="4">
        <f t="shared" si="27"/>
        <v>-75.047247458241173</v>
      </c>
      <c r="AK13" s="4">
        <f t="shared" si="28"/>
        <v>-2861.4395821822336</v>
      </c>
      <c r="AL13" s="4">
        <f t="shared" si="29"/>
        <v>-12133.546532442544</v>
      </c>
      <c r="AM13" s="4">
        <f t="shared" si="30"/>
        <v>-202.35153275976268</v>
      </c>
      <c r="AN13" s="4">
        <f t="shared" si="31"/>
        <v>981.43097338372957</v>
      </c>
      <c r="AO13" s="4">
        <f t="shared" si="32"/>
        <v>8191.0927247714626</v>
      </c>
      <c r="AP13" s="4">
        <f t="shared" si="33"/>
        <v>18526.955192970792</v>
      </c>
      <c r="AQ13" s="4">
        <f t="shared" si="34"/>
        <v>5.0952180883458667E-2</v>
      </c>
      <c r="AR13" s="4">
        <f t="shared" si="35"/>
        <v>-1.227950107394826</v>
      </c>
      <c r="AS13" s="4">
        <f t="shared" si="36"/>
        <v>3.8712151694153374E-2</v>
      </c>
      <c r="AT13" s="4">
        <f t="shared" si="37"/>
        <v>7.0713497323978878</v>
      </c>
      <c r="AU13" s="4">
        <f t="shared" si="38"/>
        <v>4.7316576022634562</v>
      </c>
      <c r="AV13" s="4">
        <f t="shared" si="39"/>
        <v>-4.5886191737659614E-2</v>
      </c>
      <c r="AW13" s="4">
        <f t="shared" si="40"/>
        <v>-33.557872198787187</v>
      </c>
      <c r="AX13" s="4">
        <f t="shared" si="41"/>
        <v>-26.104453051567006</v>
      </c>
      <c r="AY13" s="4">
        <f t="shared" si="42"/>
        <v>35.919496235043638</v>
      </c>
      <c r="AZ13" s="4">
        <f t="shared" si="43"/>
        <v>155.54199471739969</v>
      </c>
      <c r="BA13" s="4">
        <f t="shared" si="44"/>
        <v>-1.3045573091867704</v>
      </c>
      <c r="BB13" s="4">
        <f t="shared" si="45"/>
        <v>-50.547489158991539</v>
      </c>
      <c r="BC13" s="4">
        <f t="shared" si="46"/>
        <v>-16.933362549092138</v>
      </c>
      <c r="BD13" s="4">
        <f t="shared" si="47"/>
        <v>131.29409026486971</v>
      </c>
      <c r="BE13" s="4">
        <f t="shared" si="48"/>
        <v>222.60919927919858</v>
      </c>
      <c r="BF13" s="4">
        <f t="shared" si="49"/>
        <v>-94.349671959477249</v>
      </c>
      <c r="BG13" s="4">
        <f t="shared" si="50"/>
        <v>-33.063692630181627</v>
      </c>
      <c r="BH13" s="4">
        <f t="shared" si="51"/>
        <v>-335.53504677441822</v>
      </c>
      <c r="BI13" s="4">
        <f t="shared" si="52"/>
        <v>-25.965980143228244</v>
      </c>
      <c r="BJ13" s="4">
        <f t="shared" si="53"/>
        <v>-411.02813169588347</v>
      </c>
      <c r="BK13" s="4">
        <f t="shared" si="54"/>
        <v>1.1894810565900167</v>
      </c>
      <c r="BL13" s="4">
        <f t="shared" si="55"/>
        <v>56.104828222811626</v>
      </c>
      <c r="BM13" s="4">
        <f t="shared" si="56"/>
        <v>77.951397704450628</v>
      </c>
      <c r="BN13" s="4">
        <f t="shared" si="57"/>
        <v>-97.54228461169582</v>
      </c>
      <c r="BO13" s="4">
        <f t="shared" si="58"/>
        <v>-602.45874018329187</v>
      </c>
      <c r="BP13" s="4">
        <f t="shared" si="59"/>
        <v>-233.91385071622156</v>
      </c>
      <c r="BQ13" s="4">
        <f t="shared" si="60"/>
        <v>-94.884476046666848</v>
      </c>
      <c r="BR13" s="4">
        <f t="shared" si="61"/>
        <v>323.79883886829225</v>
      </c>
      <c r="BS13" s="4">
        <f t="shared" si="62"/>
        <v>1688.4723411475406</v>
      </c>
      <c r="BT13" s="4">
        <f t="shared" si="63"/>
        <v>4240.849634559404</v>
      </c>
      <c r="BU13" s="4">
        <f t="shared" si="64"/>
        <v>27.412307585125717</v>
      </c>
      <c r="BV13" s="4">
        <f t="shared" si="65"/>
        <v>267.38647381921425</v>
      </c>
      <c r="BW13" s="4">
        <f t="shared" si="66"/>
        <v>-863.64312185273218</v>
      </c>
      <c r="BX13" s="4">
        <f t="shared" si="67"/>
        <v>-3010.6219108904324</v>
      </c>
      <c r="BY13" s="4">
        <f t="shared" si="68"/>
        <v>-5452.7252711611673</v>
      </c>
      <c r="BZ13" s="6">
        <f t="shared" si="69"/>
        <v>0.3555033193943018</v>
      </c>
      <c r="CA13" s="7"/>
      <c r="CB13" s="6">
        <v>0.35549459181584098</v>
      </c>
      <c r="CC13" s="6"/>
    </row>
    <row r="14" spans="1:81" x14ac:dyDescent="0.3">
      <c r="A14" s="4">
        <v>12</v>
      </c>
      <c r="B14" s="4">
        <v>122187926</v>
      </c>
      <c r="C14" s="4">
        <v>6.51</v>
      </c>
      <c r="D14" s="4">
        <v>3.536</v>
      </c>
      <c r="E14" s="4">
        <v>0.38500000000000001</v>
      </c>
      <c r="F14" s="4">
        <v>2.9289999999999998</v>
      </c>
      <c r="H14" s="6">
        <v>-2618.81325553337</v>
      </c>
      <c r="I14" s="4">
        <f t="shared" si="0"/>
        <v>302.14734167099999</v>
      </c>
      <c r="J14" s="4">
        <f t="shared" si="1"/>
        <v>-1740.1655308960001</v>
      </c>
      <c r="K14" s="4">
        <f t="shared" si="2"/>
        <v>911.99824100000001</v>
      </c>
      <c r="L14" s="4">
        <f t="shared" si="3"/>
        <v>9465.0814254799989</v>
      </c>
      <c r="M14" s="4">
        <f t="shared" si="4"/>
        <v>163.750807937682</v>
      </c>
      <c r="N14" s="4">
        <f t="shared" si="5"/>
        <v>58.232380458907201</v>
      </c>
      <c r="O14" s="4">
        <f t="shared" si="6"/>
        <v>-172.51234118579998</v>
      </c>
      <c r="P14" s="4">
        <f t="shared" si="7"/>
        <v>-731.10633765140983</v>
      </c>
      <c r="Q14" s="4">
        <f t="shared" si="8"/>
        <v>-150.05152390592002</v>
      </c>
      <c r="R14" s="4">
        <f t="shared" si="9"/>
        <v>246.34705791696001</v>
      </c>
      <c r="S14" s="4">
        <f t="shared" si="10"/>
        <v>4382.0682351744481</v>
      </c>
      <c r="T14" s="4">
        <f t="shared" si="11"/>
        <v>-61.523858361349994</v>
      </c>
      <c r="U14" s="4">
        <f t="shared" si="12"/>
        <v>-2318.4965045511503</v>
      </c>
      <c r="V14" s="4">
        <f t="shared" si="13"/>
        <v>-12754.440522905697</v>
      </c>
      <c r="W14" s="4">
        <f t="shared" si="14"/>
        <v>-9.9837856009757253</v>
      </c>
      <c r="X14" s="4">
        <f t="shared" si="15"/>
        <v>19.884134700469168</v>
      </c>
      <c r="Y14" s="4">
        <f t="shared" si="16"/>
        <v>9.7047524723532064</v>
      </c>
      <c r="Z14" s="4">
        <f t="shared" si="17"/>
        <v>-325.55569508111932</v>
      </c>
      <c r="AA14" s="4">
        <f t="shared" si="18"/>
        <v>18.911486028746086</v>
      </c>
      <c r="AB14" s="4">
        <f t="shared" si="19"/>
        <v>-95.499898997302793</v>
      </c>
      <c r="AC14" s="4">
        <f t="shared" si="20"/>
        <v>2.3400662381055697</v>
      </c>
      <c r="AD14" s="4">
        <f t="shared" si="21"/>
        <v>79.171897044690454</v>
      </c>
      <c r="AE14" s="4">
        <f t="shared" si="22"/>
        <v>146.14893855005946</v>
      </c>
      <c r="AF14" s="4">
        <f t="shared" si="23"/>
        <v>667.15942146565635</v>
      </c>
      <c r="AG14" s="4">
        <f t="shared" si="24"/>
        <v>-19.139969648000189</v>
      </c>
      <c r="AH14" s="4">
        <f t="shared" si="25"/>
        <v>76.063835387507979</v>
      </c>
      <c r="AI14" s="4">
        <f t="shared" si="26"/>
        <v>176.528144656546</v>
      </c>
      <c r="AJ14" s="4">
        <f t="shared" si="27"/>
        <v>-7.7056278495996793</v>
      </c>
      <c r="AK14" s="4">
        <f t="shared" si="28"/>
        <v>-495.07854215948123</v>
      </c>
      <c r="AL14" s="4">
        <f t="shared" si="29"/>
        <v>-3537.4763373973842</v>
      </c>
      <c r="AM14" s="4">
        <f t="shared" si="30"/>
        <v>-17.178149119400501</v>
      </c>
      <c r="AN14" s="4">
        <f t="shared" si="31"/>
        <v>140.39314096797025</v>
      </c>
      <c r="AO14" s="4">
        <f t="shared" si="32"/>
        <v>1974.4413298913116</v>
      </c>
      <c r="AP14" s="4">
        <f t="shared" si="33"/>
        <v>7525.2806752129682</v>
      </c>
      <c r="AQ14" s="4">
        <f t="shared" si="34"/>
        <v>0.13254773918257237</v>
      </c>
      <c r="AR14" s="4">
        <f t="shared" si="35"/>
        <v>-1.337050766724057</v>
      </c>
      <c r="AS14" s="4">
        <f t="shared" si="36"/>
        <v>3.485066700034159E-2</v>
      </c>
      <c r="AT14" s="4">
        <f t="shared" si="37"/>
        <v>10.727100784391073</v>
      </c>
      <c r="AU14" s="4">
        <f t="shared" si="38"/>
        <v>2.1564436555025788</v>
      </c>
      <c r="AV14" s="4">
        <f t="shared" si="39"/>
        <v>-1.7290335807270758E-2</v>
      </c>
      <c r="AW14" s="4">
        <f t="shared" si="40"/>
        <v>-21.307479968953228</v>
      </c>
      <c r="AX14" s="4">
        <f t="shared" si="41"/>
        <v>-8.1326600383807541</v>
      </c>
      <c r="AY14" s="4">
        <f t="shared" si="42"/>
        <v>18.856649027138147</v>
      </c>
      <c r="AZ14" s="4">
        <f t="shared" si="43"/>
        <v>137.59359101098465</v>
      </c>
      <c r="BA14" s="4">
        <f t="shared" si="44"/>
        <v>-0.24885455619599262</v>
      </c>
      <c r="BB14" s="4">
        <f t="shared" si="45"/>
        <v>-7.9722081512903475</v>
      </c>
      <c r="BC14" s="4">
        <f t="shared" si="46"/>
        <v>-4.5002693612883711</v>
      </c>
      <c r="BD14" s="4">
        <f t="shared" si="47"/>
        <v>17.120672805275483</v>
      </c>
      <c r="BE14" s="4">
        <f t="shared" si="48"/>
        <v>48.914207010152069</v>
      </c>
      <c r="BF14" s="4">
        <f t="shared" si="49"/>
        <v>-34.93402001475976</v>
      </c>
      <c r="BG14" s="4">
        <f t="shared" si="50"/>
        <v>-3.5647051347345062</v>
      </c>
      <c r="BH14" s="4">
        <f t="shared" si="51"/>
        <v>-60.957395997406827</v>
      </c>
      <c r="BI14" s="4">
        <f t="shared" si="52"/>
        <v>-7.9489451163724798</v>
      </c>
      <c r="BJ14" s="4">
        <f t="shared" si="53"/>
        <v>-212.02769167684417</v>
      </c>
      <c r="BK14" s="4">
        <f t="shared" si="54"/>
        <v>9.4972439394364255E-2</v>
      </c>
      <c r="BL14" s="4">
        <f t="shared" si="55"/>
        <v>3.7037094337260337</v>
      </c>
      <c r="BM14" s="4">
        <f t="shared" si="56"/>
        <v>8.6711527730072788</v>
      </c>
      <c r="BN14" s="4">
        <f t="shared" si="57"/>
        <v>-5.3238547918641856</v>
      </c>
      <c r="BO14" s="4">
        <f t="shared" si="58"/>
        <v>-55.408558028027656</v>
      </c>
      <c r="BP14" s="4">
        <f t="shared" si="59"/>
        <v>-36.251145774711368</v>
      </c>
      <c r="BQ14" s="4">
        <f t="shared" si="60"/>
        <v>-4.2817869044616668</v>
      </c>
      <c r="BR14" s="4">
        <f t="shared" si="61"/>
        <v>24.621892644171943</v>
      </c>
      <c r="BS14" s="4">
        <f t="shared" si="62"/>
        <v>216.34973006993096</v>
      </c>
      <c r="BT14" s="4">
        <f t="shared" si="63"/>
        <v>915.65430484382262</v>
      </c>
      <c r="BU14" s="4">
        <f t="shared" si="64"/>
        <v>1.0227561263513054</v>
      </c>
      <c r="BV14" s="4">
        <f t="shared" si="65"/>
        <v>16.81056026270409</v>
      </c>
      <c r="BW14" s="4">
        <f t="shared" si="66"/>
        <v>-91.494151299784022</v>
      </c>
      <c r="BX14" s="4">
        <f t="shared" si="67"/>
        <v>-537.44186421067286</v>
      </c>
      <c r="BY14" s="4">
        <f t="shared" si="68"/>
        <v>-1640.2315156468787</v>
      </c>
      <c r="BZ14" s="6">
        <f t="shared" si="69"/>
        <v>9.1249289951065293E-3</v>
      </c>
      <c r="CA14" s="7"/>
      <c r="CB14" s="6">
        <v>9.1266799563527456E-3</v>
      </c>
      <c r="CC14" s="6"/>
    </row>
    <row r="15" spans="1:81" x14ac:dyDescent="0.3">
      <c r="A15" s="4">
        <v>13</v>
      </c>
      <c r="B15" s="4">
        <v>9593451</v>
      </c>
      <c r="C15" s="4">
        <v>2.7109999999999999</v>
      </c>
      <c r="D15" s="4">
        <v>5.0060000000000002</v>
      </c>
      <c r="E15" s="4">
        <v>0.46200000000000002</v>
      </c>
      <c r="F15" s="4">
        <v>3.38</v>
      </c>
      <c r="H15" s="6">
        <v>-2618.81325553337</v>
      </c>
      <c r="I15" s="4">
        <f t="shared" si="0"/>
        <v>125.82510649309999</v>
      </c>
      <c r="J15" s="4">
        <f t="shared" si="1"/>
        <v>-2463.594074566</v>
      </c>
      <c r="K15" s="4">
        <f t="shared" si="2"/>
        <v>1094.3978892</v>
      </c>
      <c r="L15" s="4">
        <f t="shared" si="3"/>
        <v>10922.4906856</v>
      </c>
      <c r="M15" s="4">
        <f t="shared" si="4"/>
        <v>28.397526237667218</v>
      </c>
      <c r="N15" s="4">
        <f t="shared" si="5"/>
        <v>34.331411690899813</v>
      </c>
      <c r="O15" s="4">
        <f t="shared" si="6"/>
        <v>-86.208471328055992</v>
      </c>
      <c r="P15" s="4">
        <f t="shared" si="7"/>
        <v>-351.33903672321992</v>
      </c>
      <c r="Q15" s="4">
        <f t="shared" si="8"/>
        <v>-300.74442698447007</v>
      </c>
      <c r="R15" s="4">
        <f t="shared" si="9"/>
        <v>418.511325316392</v>
      </c>
      <c r="S15" s="4">
        <f t="shared" si="10"/>
        <v>7159.0443588627604</v>
      </c>
      <c r="T15" s="4">
        <f t="shared" si="11"/>
        <v>-88.59435604034401</v>
      </c>
      <c r="U15" s="4">
        <f t="shared" si="12"/>
        <v>-3210.5912674836004</v>
      </c>
      <c r="V15" s="4">
        <f t="shared" si="13"/>
        <v>-16984.629203879998</v>
      </c>
      <c r="W15" s="4">
        <f t="shared" si="14"/>
        <v>-0.72100924451981119</v>
      </c>
      <c r="X15" s="4">
        <f t="shared" si="15"/>
        <v>4.8818265328285175</v>
      </c>
      <c r="Y15" s="4">
        <f t="shared" si="16"/>
        <v>2.0195879319405612</v>
      </c>
      <c r="Z15" s="4">
        <f t="shared" si="17"/>
        <v>-65.150789617716171</v>
      </c>
      <c r="AA15" s="4">
        <f t="shared" si="18"/>
        <v>15.784519395389328</v>
      </c>
      <c r="AB15" s="4">
        <f t="shared" si="19"/>
        <v>-67.563365737302661</v>
      </c>
      <c r="AC15" s="4">
        <f t="shared" si="20"/>
        <v>1.5920349489372574</v>
      </c>
      <c r="AD15" s="4">
        <f t="shared" si="21"/>
        <v>47.476869210283319</v>
      </c>
      <c r="AE15" s="4">
        <f t="shared" si="22"/>
        <v>84.279658885049628</v>
      </c>
      <c r="AF15" s="4">
        <f t="shared" si="23"/>
        <v>369.97536696195027</v>
      </c>
      <c r="AG15" s="4">
        <f t="shared" si="24"/>
        <v>-54.30965094480149</v>
      </c>
      <c r="AH15" s="4">
        <f t="shared" si="25"/>
        <v>182.9433569940941</v>
      </c>
      <c r="AI15" s="4">
        <f t="shared" si="26"/>
        <v>408.28973679952759</v>
      </c>
      <c r="AJ15" s="4">
        <f t="shared" si="27"/>
        <v>-15.709020684880725</v>
      </c>
      <c r="AK15" s="4">
        <f t="shared" si="28"/>
        <v>-970.57984154363248</v>
      </c>
      <c r="AL15" s="4">
        <f t="shared" si="29"/>
        <v>-6669.0932449740758</v>
      </c>
      <c r="AM15" s="4">
        <f t="shared" si="30"/>
        <v>-29.683841678324068</v>
      </c>
      <c r="AN15" s="4">
        <f t="shared" si="31"/>
        <v>233.2951504674991</v>
      </c>
      <c r="AO15" s="4">
        <f t="shared" si="32"/>
        <v>3155.1509119786656</v>
      </c>
      <c r="AP15" s="4">
        <f t="shared" si="33"/>
        <v>11564.175887058494</v>
      </c>
      <c r="AQ15" s="4">
        <f t="shared" si="34"/>
        <v>3.9862675159995182E-3</v>
      </c>
      <c r="AR15" s="4">
        <f t="shared" si="35"/>
        <v>-0.13670112017870567</v>
      </c>
      <c r="AS15" s="4">
        <f t="shared" si="36"/>
        <v>3.0202154680651861E-3</v>
      </c>
      <c r="AT15" s="4">
        <f t="shared" si="37"/>
        <v>0.89397479966742122</v>
      </c>
      <c r="AU15" s="4">
        <f t="shared" si="38"/>
        <v>0.74953574863896733</v>
      </c>
      <c r="AV15" s="4">
        <f t="shared" si="39"/>
        <v>-5.0940161919215575E-3</v>
      </c>
      <c r="AW15" s="4">
        <f t="shared" si="40"/>
        <v>-6.0367760434164541</v>
      </c>
      <c r="AX15" s="4">
        <f t="shared" si="41"/>
        <v>-2.0309169695832203</v>
      </c>
      <c r="AY15" s="4">
        <f t="shared" si="42"/>
        <v>4.5283517096123616</v>
      </c>
      <c r="AZ15" s="4">
        <f t="shared" si="43"/>
        <v>31.775319094880661</v>
      </c>
      <c r="BA15" s="4">
        <f t="shared" si="44"/>
        <v>-0.29405589641881763</v>
      </c>
      <c r="BB15" s="4">
        <f t="shared" si="45"/>
        <v>-7.9848283099601733</v>
      </c>
      <c r="BC15" s="4">
        <f t="shared" si="46"/>
        <v>-4.3345253228130201</v>
      </c>
      <c r="BD15" s="4">
        <f t="shared" si="47"/>
        <v>14.534846095837507</v>
      </c>
      <c r="BE15" s="4">
        <f t="shared" si="48"/>
        <v>39.933806552120714</v>
      </c>
      <c r="BF15" s="4">
        <f t="shared" si="49"/>
        <v>-27.426496886497393</v>
      </c>
      <c r="BG15" s="4">
        <f t="shared" si="50"/>
        <v>-2.5651683858399918</v>
      </c>
      <c r="BH15" s="4">
        <f t="shared" si="51"/>
        <v>-42.182737080277597</v>
      </c>
      <c r="BI15" s="4">
        <f t="shared" si="52"/>
        <v>-5.2897351819081546</v>
      </c>
      <c r="BJ15" s="4">
        <f t="shared" si="53"/>
        <v>-135.68539399227606</v>
      </c>
      <c r="BK15" s="4">
        <f t="shared" si="54"/>
        <v>0.38151529085846503</v>
      </c>
      <c r="BL15" s="4">
        <f t="shared" si="55"/>
        <v>12.611127619064694</v>
      </c>
      <c r="BM15" s="4">
        <f t="shared" si="56"/>
        <v>28.392911797962601</v>
      </c>
      <c r="BN15" s="4">
        <f t="shared" si="57"/>
        <v>-15.365470796641157</v>
      </c>
      <c r="BO15" s="4">
        <f t="shared" si="58"/>
        <v>-153.78451261278263</v>
      </c>
      <c r="BP15" s="4">
        <f t="shared" si="59"/>
        <v>-96.755034636877966</v>
      </c>
      <c r="BQ15" s="4">
        <f t="shared" si="60"/>
        <v>-10.474839485626207</v>
      </c>
      <c r="BR15" s="4">
        <f t="shared" si="61"/>
        <v>57.92417313870142</v>
      </c>
      <c r="BS15" s="4">
        <f t="shared" si="62"/>
        <v>489.45283668171959</v>
      </c>
      <c r="BT15" s="4">
        <f t="shared" si="63"/>
        <v>1992.0586294487994</v>
      </c>
      <c r="BU15" s="4">
        <f t="shared" si="64"/>
        <v>2.1207871036020678</v>
      </c>
      <c r="BV15" s="4">
        <f t="shared" si="65"/>
        <v>33.521485385032449</v>
      </c>
      <c r="BW15" s="4">
        <f t="shared" si="66"/>
        <v>-175.44883236218641</v>
      </c>
      <c r="BX15" s="4">
        <f t="shared" si="67"/>
        <v>-991.07090061460417</v>
      </c>
      <c r="BY15" s="4">
        <f t="shared" si="68"/>
        <v>-2908.6701003910334</v>
      </c>
      <c r="BZ15" s="6">
        <f t="shared" si="69"/>
        <v>-1.1174595544675867</v>
      </c>
      <c r="CA15" s="7"/>
      <c r="CB15" s="6">
        <v>-1.1174585449148251</v>
      </c>
      <c r="CC15" s="6"/>
    </row>
    <row r="16" spans="1:81" x14ac:dyDescent="0.3">
      <c r="A16" s="4">
        <v>14</v>
      </c>
      <c r="B16" s="4">
        <v>122187930</v>
      </c>
      <c r="C16" s="4">
        <v>6.51</v>
      </c>
      <c r="D16" s="4">
        <v>3.5230000000000001</v>
      </c>
      <c r="E16" s="4">
        <v>0.372</v>
      </c>
      <c r="F16" s="4">
        <v>2.996</v>
      </c>
      <c r="H16" s="6">
        <v>-2618.81325553337</v>
      </c>
      <c r="I16" s="4">
        <f t="shared" si="0"/>
        <v>302.14734167099999</v>
      </c>
      <c r="J16" s="4">
        <f t="shared" si="1"/>
        <v>-1733.7678635030002</v>
      </c>
      <c r="K16" s="4">
        <f t="shared" si="2"/>
        <v>881.20349519999991</v>
      </c>
      <c r="L16" s="4">
        <f t="shared" si="3"/>
        <v>9681.5923355199993</v>
      </c>
      <c r="M16" s="4">
        <f t="shared" si="4"/>
        <v>163.750807937682</v>
      </c>
      <c r="N16" s="4">
        <f t="shared" si="5"/>
        <v>58.018290824867101</v>
      </c>
      <c r="O16" s="4">
        <f t="shared" si="6"/>
        <v>-166.68724914575998</v>
      </c>
      <c r="P16" s="4">
        <f t="shared" si="7"/>
        <v>-747.8301767168399</v>
      </c>
      <c r="Q16" s="4">
        <f t="shared" si="8"/>
        <v>-148.95023203901752</v>
      </c>
      <c r="R16" s="4">
        <f t="shared" si="9"/>
        <v>237.15373952181602</v>
      </c>
      <c r="S16" s="4">
        <f t="shared" si="10"/>
        <v>4465.8276680832369</v>
      </c>
      <c r="T16" s="4">
        <f t="shared" si="11"/>
        <v>-57.439147346783997</v>
      </c>
      <c r="U16" s="4">
        <f t="shared" si="12"/>
        <v>-2291.4537351787203</v>
      </c>
      <c r="V16" s="4">
        <f t="shared" si="13"/>
        <v>-13344.622342363198</v>
      </c>
      <c r="W16" s="4">
        <f t="shared" si="14"/>
        <v>-9.9837856009757253</v>
      </c>
      <c r="X16" s="4">
        <f t="shared" si="15"/>
        <v>19.811031264070383</v>
      </c>
      <c r="Y16" s="4">
        <f t="shared" si="16"/>
        <v>9.3770595317282925</v>
      </c>
      <c r="Z16" s="4">
        <f t="shared" si="17"/>
        <v>-333.00268435064305</v>
      </c>
      <c r="AA16" s="4">
        <f t="shared" si="18"/>
        <v>18.772686600307384</v>
      </c>
      <c r="AB16" s="4">
        <f t="shared" si="19"/>
        <v>-91.935979924714374</v>
      </c>
      <c r="AC16" s="4">
        <f t="shared" si="20"/>
        <v>2.3847945742595873</v>
      </c>
      <c r="AD16" s="4">
        <f t="shared" si="21"/>
        <v>73.91549199279774</v>
      </c>
      <c r="AE16" s="4">
        <f t="shared" si="22"/>
        <v>144.44426829005411</v>
      </c>
      <c r="AF16" s="4">
        <f t="shared" si="23"/>
        <v>698.03065886111006</v>
      </c>
      <c r="AG16" s="4">
        <f t="shared" si="24"/>
        <v>-18.929642202993708</v>
      </c>
      <c r="AH16" s="4">
        <f t="shared" si="25"/>
        <v>72.956031844939375</v>
      </c>
      <c r="AI16" s="4">
        <f t="shared" si="26"/>
        <v>179.24092139101703</v>
      </c>
      <c r="AJ16" s="4">
        <f t="shared" si="27"/>
        <v>-7.1675847721535613</v>
      </c>
      <c r="AK16" s="4">
        <f t="shared" si="28"/>
        <v>-487.50507146526928</v>
      </c>
      <c r="AL16" s="4">
        <f t="shared" si="29"/>
        <v>-3687.5575343303949</v>
      </c>
      <c r="AM16" s="4">
        <f t="shared" si="30"/>
        <v>-15.496121024135423</v>
      </c>
      <c r="AN16" s="4">
        <f t="shared" si="31"/>
        <v>134.07035167418053</v>
      </c>
      <c r="AO16" s="4">
        <f t="shared" si="32"/>
        <v>1996.0495515371927</v>
      </c>
      <c r="AP16" s="4">
        <f t="shared" si="33"/>
        <v>8053.5992426880157</v>
      </c>
      <c r="AQ16" s="4">
        <f t="shared" si="34"/>
        <v>0.13254773918257237</v>
      </c>
      <c r="AR16" s="4">
        <f t="shared" si="35"/>
        <v>-1.3321351389052185</v>
      </c>
      <c r="AS16" s="4">
        <f t="shared" si="36"/>
        <v>3.3673891231498887E-2</v>
      </c>
      <c r="AT16" s="4">
        <f t="shared" si="37"/>
        <v>10.972480010254579</v>
      </c>
      <c r="AU16" s="4">
        <f t="shared" si="38"/>
        <v>2.1406165995859223</v>
      </c>
      <c r="AV16" s="4">
        <f t="shared" si="39"/>
        <v>-1.6645085307511263E-2</v>
      </c>
      <c r="AW16" s="4">
        <f t="shared" si="40"/>
        <v>-21.714753964503831</v>
      </c>
      <c r="AX16" s="4">
        <f t="shared" si="41"/>
        <v>-7.5927139602042999</v>
      </c>
      <c r="AY16" s="4">
        <f t="shared" si="42"/>
        <v>18.636706486885547</v>
      </c>
      <c r="AZ16" s="4">
        <f t="shared" si="43"/>
        <v>143.96041170709577</v>
      </c>
      <c r="BA16" s="4">
        <f t="shared" si="44"/>
        <v>-0.2461199153399454</v>
      </c>
      <c r="BB16" s="4">
        <f t="shared" si="45"/>
        <v>-7.6464809958234623</v>
      </c>
      <c r="BC16" s="4">
        <f t="shared" si="46"/>
        <v>-4.5694267528528059</v>
      </c>
      <c r="BD16" s="4">
        <f t="shared" si="47"/>
        <v>15.925227130517513</v>
      </c>
      <c r="BE16" s="4">
        <f t="shared" si="48"/>
        <v>48.16594126689013</v>
      </c>
      <c r="BF16" s="4">
        <f t="shared" si="49"/>
        <v>-36.416132978193538</v>
      </c>
      <c r="BG16" s="4">
        <f t="shared" si="50"/>
        <v>-3.2156608840248948</v>
      </c>
      <c r="BH16" s="4">
        <f t="shared" si="51"/>
        <v>-58.21209969494975</v>
      </c>
      <c r="BI16" s="4">
        <f t="shared" si="52"/>
        <v>-8.0359381129863507</v>
      </c>
      <c r="BJ16" s="4">
        <f t="shared" si="53"/>
        <v>-226.91327151982873</v>
      </c>
      <c r="BK16" s="4">
        <f t="shared" si="54"/>
        <v>9.3583469146817047E-2</v>
      </c>
      <c r="BL16" s="4">
        <f t="shared" si="55"/>
        <v>3.5393236544438897</v>
      </c>
      <c r="BM16" s="4">
        <f t="shared" si="56"/>
        <v>8.7720366151932172</v>
      </c>
      <c r="BN16" s="4">
        <f t="shared" si="57"/>
        <v>-4.9339119631099724</v>
      </c>
      <c r="BO16" s="4">
        <f t="shared" si="58"/>
        <v>-54.360353153186701</v>
      </c>
      <c r="BP16" s="4">
        <f t="shared" si="59"/>
        <v>-37.650208540903407</v>
      </c>
      <c r="BQ16" s="4">
        <f t="shared" si="60"/>
        <v>-3.8483278837442323</v>
      </c>
      <c r="BR16" s="4">
        <f t="shared" si="61"/>
        <v>23.42656850375587</v>
      </c>
      <c r="BS16" s="4">
        <f t="shared" si="62"/>
        <v>217.91334618508461</v>
      </c>
      <c r="BT16" s="4">
        <f t="shared" si="63"/>
        <v>976.33585895048805</v>
      </c>
      <c r="BU16" s="4">
        <f t="shared" si="64"/>
        <v>0.89145809113046459</v>
      </c>
      <c r="BV16" s="4">
        <f t="shared" si="65"/>
        <v>15.511409249479234</v>
      </c>
      <c r="BW16" s="4">
        <f t="shared" si="66"/>
        <v>-89.372236978196881</v>
      </c>
      <c r="BX16" s="4">
        <f t="shared" si="67"/>
        <v>-555.75197575771813</v>
      </c>
      <c r="BY16" s="4">
        <f t="shared" si="68"/>
        <v>-1795.5392437812634</v>
      </c>
      <c r="BZ16" s="6">
        <f t="shared" si="69"/>
        <v>0.2869159996291728</v>
      </c>
      <c r="CA16" s="7"/>
      <c r="CB16" s="6">
        <v>0.28691786057470381</v>
      </c>
      <c r="CC16" s="6"/>
    </row>
    <row r="17" spans="1:81" x14ac:dyDescent="0.3">
      <c r="A17" s="4">
        <v>15</v>
      </c>
      <c r="B17" s="4">
        <v>3599</v>
      </c>
      <c r="C17" s="4">
        <v>22.102</v>
      </c>
      <c r="D17" s="4">
        <v>5.72</v>
      </c>
      <c r="E17" s="4">
        <v>0.68100000000000005</v>
      </c>
      <c r="F17" s="4">
        <v>2.9340000000000002</v>
      </c>
      <c r="H17" s="6">
        <v>-2618.81325553337</v>
      </c>
      <c r="I17" s="4">
        <f t="shared" si="0"/>
        <v>1025.8157520141999</v>
      </c>
      <c r="J17" s="4">
        <f t="shared" si="1"/>
        <v>-2814.9736529199999</v>
      </c>
      <c r="K17" s="4">
        <f t="shared" si="2"/>
        <v>1613.1709146000001</v>
      </c>
      <c r="L17" s="4">
        <f t="shared" si="3"/>
        <v>9481.2389560800002</v>
      </c>
      <c r="M17" s="4">
        <f t="shared" si="4"/>
        <v>1887.4898438481314</v>
      </c>
      <c r="N17" s="4">
        <f t="shared" si="5"/>
        <v>319.81505380704874</v>
      </c>
      <c r="O17" s="4">
        <f t="shared" si="6"/>
        <v>-1035.9937550178961</v>
      </c>
      <c r="P17" s="4">
        <f t="shared" si="7"/>
        <v>-2486.405011497372</v>
      </c>
      <c r="Q17" s="4">
        <f t="shared" si="8"/>
        <v>-392.65212786799998</v>
      </c>
      <c r="R17" s="4">
        <f t="shared" si="9"/>
        <v>704.88380857752009</v>
      </c>
      <c r="S17" s="4">
        <f t="shared" si="10"/>
        <v>7100.7405770901605</v>
      </c>
      <c r="T17" s="4">
        <f t="shared" si="11"/>
        <v>-192.49361496048604</v>
      </c>
      <c r="U17" s="4">
        <f t="shared" si="12"/>
        <v>-4108.0296142067409</v>
      </c>
      <c r="V17" s="4">
        <f t="shared" si="13"/>
        <v>-12798.0230659812</v>
      </c>
      <c r="W17" s="4">
        <f t="shared" si="14"/>
        <v>-390.70323224030881</v>
      </c>
      <c r="X17" s="4">
        <f t="shared" si="15"/>
        <v>370.75894779383231</v>
      </c>
      <c r="Y17" s="4">
        <f t="shared" si="16"/>
        <v>197.86638405341279</v>
      </c>
      <c r="Z17" s="4">
        <f t="shared" si="17"/>
        <v>-3758.9556946379221</v>
      </c>
      <c r="AA17" s="4">
        <f t="shared" si="18"/>
        <v>168.01334840559659</v>
      </c>
      <c r="AB17" s="4">
        <f t="shared" si="19"/>
        <v>-927.73438456785368</v>
      </c>
      <c r="AC17" s="4">
        <f t="shared" si="20"/>
        <v>12.873695928193571</v>
      </c>
      <c r="AD17" s="4">
        <f t="shared" si="21"/>
        <v>840.99691374906627</v>
      </c>
      <c r="AE17" s="4">
        <f t="shared" si="22"/>
        <v>879.17103556822451</v>
      </c>
      <c r="AF17" s="4">
        <f t="shared" si="23"/>
        <v>2272.8024300911075</v>
      </c>
      <c r="AG17" s="4">
        <f t="shared" si="24"/>
        <v>-81.020060303939317</v>
      </c>
      <c r="AH17" s="4">
        <f t="shared" si="25"/>
        <v>352.07253515065634</v>
      </c>
      <c r="AI17" s="4">
        <f t="shared" si="26"/>
        <v>462.7242279145886</v>
      </c>
      <c r="AJ17" s="4">
        <f t="shared" si="27"/>
        <v>-38.999996476680103</v>
      </c>
      <c r="AK17" s="4">
        <f t="shared" si="28"/>
        <v>-1419.0084972872266</v>
      </c>
      <c r="AL17" s="4">
        <f t="shared" si="29"/>
        <v>-5741.9418713861323</v>
      </c>
      <c r="AM17" s="4">
        <f t="shared" si="30"/>
        <v>-95.068253518972327</v>
      </c>
      <c r="AN17" s="4">
        <f t="shared" si="31"/>
        <v>440.00680490790768</v>
      </c>
      <c r="AO17" s="4">
        <f t="shared" si="32"/>
        <v>3504.3872482071893</v>
      </c>
      <c r="AP17" s="4">
        <f t="shared" si="33"/>
        <v>7563.8849811802847</v>
      </c>
      <c r="AQ17" s="4">
        <f t="shared" si="34"/>
        <v>17.6106209139604</v>
      </c>
      <c r="AR17" s="4">
        <f t="shared" si="35"/>
        <v>-84.641514931376264</v>
      </c>
      <c r="AS17" s="4">
        <f t="shared" si="36"/>
        <v>2.4123995279519379</v>
      </c>
      <c r="AT17" s="4">
        <f t="shared" si="37"/>
        <v>420.50857545564656</v>
      </c>
      <c r="AU17" s="4">
        <f t="shared" si="38"/>
        <v>65.043938739878016</v>
      </c>
      <c r="AV17" s="4">
        <f t="shared" si="39"/>
        <v>-0.57026242289691575</v>
      </c>
      <c r="AW17" s="4">
        <f t="shared" si="40"/>
        <v>-397.97681415832403</v>
      </c>
      <c r="AX17" s="4">
        <f t="shared" si="41"/>
        <v>-293.29628029631255</v>
      </c>
      <c r="AY17" s="4">
        <f t="shared" si="42"/>
        <v>385.11710653796763</v>
      </c>
      <c r="AZ17" s="4">
        <f t="shared" si="43"/>
        <v>1591.4054937747233</v>
      </c>
      <c r="BA17" s="4">
        <f t="shared" si="44"/>
        <v>-3.5764116414735714</v>
      </c>
      <c r="BB17" s="4">
        <f t="shared" si="45"/>
        <v>-125.28040329012117</v>
      </c>
      <c r="BC17" s="4">
        <f t="shared" si="46"/>
        <v>-40.049525754276949</v>
      </c>
      <c r="BD17" s="4">
        <f t="shared" si="47"/>
        <v>294.19003015267009</v>
      </c>
      <c r="BE17" s="4">
        <f t="shared" si="48"/>
        <v>475.98853913253674</v>
      </c>
      <c r="BF17" s="4">
        <f t="shared" si="49"/>
        <v>-192.51492250878451</v>
      </c>
      <c r="BG17" s="4">
        <f t="shared" si="50"/>
        <v>-66.978180409620791</v>
      </c>
      <c r="BH17" s="4">
        <f t="shared" si="51"/>
        <v>-648.62023764726825</v>
      </c>
      <c r="BI17" s="4">
        <f t="shared" si="52"/>
        <v>-47.899164978029631</v>
      </c>
      <c r="BJ17" s="4">
        <f t="shared" si="53"/>
        <v>-723.54473014890982</v>
      </c>
      <c r="BK17" s="4">
        <f t="shared" si="54"/>
        <v>0.65032834424355412</v>
      </c>
      <c r="BL17" s="4">
        <f t="shared" si="55"/>
        <v>27.731579578274371</v>
      </c>
      <c r="BM17" s="4">
        <f t="shared" si="56"/>
        <v>36.767905695453379</v>
      </c>
      <c r="BN17" s="4">
        <f t="shared" si="57"/>
        <v>-43.587956749695046</v>
      </c>
      <c r="BO17" s="4">
        <f t="shared" si="58"/>
        <v>-256.90438267862999</v>
      </c>
      <c r="BP17" s="4">
        <f t="shared" si="59"/>
        <v>-95.185491822610487</v>
      </c>
      <c r="BQ17" s="4">
        <f t="shared" si="60"/>
        <v>-38.33257280805023</v>
      </c>
      <c r="BR17" s="4">
        <f t="shared" si="61"/>
        <v>124.82992467874861</v>
      </c>
      <c r="BS17" s="4">
        <f t="shared" si="62"/>
        <v>621.16644614803806</v>
      </c>
      <c r="BT17" s="4">
        <f t="shared" si="63"/>
        <v>1488.8040017468857</v>
      </c>
      <c r="BU17" s="4">
        <f t="shared" si="64"/>
        <v>10.01192572889533</v>
      </c>
      <c r="BV17" s="4">
        <f t="shared" si="65"/>
        <v>93.192738303473092</v>
      </c>
      <c r="BW17" s="4">
        <f t="shared" si="66"/>
        <v>-287.24175626233193</v>
      </c>
      <c r="BX17" s="4">
        <f t="shared" si="67"/>
        <v>-955.52067566814651</v>
      </c>
      <c r="BY17" s="4">
        <f t="shared" si="68"/>
        <v>-1651.4601689464721</v>
      </c>
      <c r="BZ17" s="6">
        <f t="shared" si="69"/>
        <v>0.14747189903937397</v>
      </c>
      <c r="CA17" s="7"/>
      <c r="CB17" s="6">
        <v>0.1474675143690547</v>
      </c>
      <c r="CC17" s="6"/>
    </row>
    <row r="18" spans="1:81" x14ac:dyDescent="0.3">
      <c r="A18" s="4">
        <v>16</v>
      </c>
      <c r="B18" s="4">
        <v>44614311</v>
      </c>
      <c r="C18" s="4">
        <v>3.1059999999999999</v>
      </c>
      <c r="D18" s="4">
        <v>3.552</v>
      </c>
      <c r="E18" s="4">
        <v>0.748</v>
      </c>
      <c r="F18" s="4">
        <v>3.7589999999999999</v>
      </c>
      <c r="H18" s="6">
        <v>-2618.81325553337</v>
      </c>
      <c r="I18" s="4">
        <f t="shared" si="0"/>
        <v>144.15816332259999</v>
      </c>
      <c r="J18" s="4">
        <f t="shared" si="1"/>
        <v>-1748.0395830720001</v>
      </c>
      <c r="K18" s="4">
        <f t="shared" si="2"/>
        <v>1771.8822967999999</v>
      </c>
      <c r="L18" s="4">
        <f t="shared" si="3"/>
        <v>12147.231505079999</v>
      </c>
      <c r="M18" s="4">
        <f t="shared" si="4"/>
        <v>37.275577201693523</v>
      </c>
      <c r="N18" s="4">
        <f t="shared" si="5"/>
        <v>27.909092007834236</v>
      </c>
      <c r="O18" s="4">
        <f t="shared" si="6"/>
        <v>-159.91216395510398</v>
      </c>
      <c r="P18" s="4">
        <f t="shared" si="7"/>
        <v>-447.66584981046594</v>
      </c>
      <c r="Q18" s="4">
        <f t="shared" si="8"/>
        <v>-151.41252849407999</v>
      </c>
      <c r="R18" s="4">
        <f t="shared" si="9"/>
        <v>480.78282951705603</v>
      </c>
      <c r="S18" s="4">
        <f t="shared" si="10"/>
        <v>5649.2759688442566</v>
      </c>
      <c r="T18" s="4">
        <f t="shared" si="11"/>
        <v>-232.23373147990398</v>
      </c>
      <c r="U18" s="4">
        <f t="shared" si="12"/>
        <v>-5780.9640396169207</v>
      </c>
      <c r="V18" s="4">
        <f t="shared" si="13"/>
        <v>-21007.158923513696</v>
      </c>
      <c r="W18" s="4">
        <f t="shared" si="14"/>
        <v>-1.0843179183761167</v>
      </c>
      <c r="X18" s="4">
        <f t="shared" si="15"/>
        <v>4.5468258761857223</v>
      </c>
      <c r="Y18" s="4">
        <f t="shared" si="16"/>
        <v>4.2920646683038841</v>
      </c>
      <c r="Z18" s="4">
        <f t="shared" si="17"/>
        <v>-95.108465936178902</v>
      </c>
      <c r="AA18" s="4">
        <f t="shared" si="18"/>
        <v>9.104739417708263</v>
      </c>
      <c r="AB18" s="4">
        <f t="shared" si="19"/>
        <v>-88.925219162955628</v>
      </c>
      <c r="AC18" s="4">
        <f t="shared" si="20"/>
        <v>1.4393362667324627</v>
      </c>
      <c r="AD18" s="4">
        <f t="shared" si="21"/>
        <v>142.58480655933022</v>
      </c>
      <c r="AE18" s="4">
        <f t="shared" si="22"/>
        <v>173.86411358769811</v>
      </c>
      <c r="AF18" s="4">
        <f t="shared" si="23"/>
        <v>524.27119179059252</v>
      </c>
      <c r="AG18" s="4">
        <f t="shared" si="24"/>
        <v>-19.400965663474189</v>
      </c>
      <c r="AH18" s="4">
        <f t="shared" si="25"/>
        <v>149.12157777287825</v>
      </c>
      <c r="AI18" s="4">
        <f t="shared" si="26"/>
        <v>228.6063619250794</v>
      </c>
      <c r="AJ18" s="4">
        <f t="shared" si="27"/>
        <v>-29.21799887411159</v>
      </c>
      <c r="AK18" s="4">
        <f t="shared" si="28"/>
        <v>-1240.0198193135047</v>
      </c>
      <c r="AL18" s="4">
        <f t="shared" si="29"/>
        <v>-5852.7524080627736</v>
      </c>
      <c r="AM18" s="4">
        <f t="shared" si="30"/>
        <v>-125.97923694253849</v>
      </c>
      <c r="AN18" s="4">
        <f t="shared" si="31"/>
        <v>680.11222478637342</v>
      </c>
      <c r="AO18" s="4">
        <f t="shared" si="32"/>
        <v>6318.1656738809752</v>
      </c>
      <c r="AP18" s="4">
        <f t="shared" si="33"/>
        <v>15906.754004347884</v>
      </c>
      <c r="AQ18" s="4">
        <f t="shared" si="34"/>
        <v>6.8683778001269701E-3</v>
      </c>
      <c r="AR18" s="4">
        <f t="shared" si="35"/>
        <v>-0.14587134474954394</v>
      </c>
      <c r="AS18" s="4">
        <f t="shared" si="36"/>
        <v>7.3538260249993393E-3</v>
      </c>
      <c r="AT18" s="4">
        <f t="shared" si="37"/>
        <v>1.495191100686398</v>
      </c>
      <c r="AU18" s="4">
        <f t="shared" si="38"/>
        <v>0.49533662686809543</v>
      </c>
      <c r="AV18" s="4">
        <f t="shared" si="39"/>
        <v>-7.68149801834831E-3</v>
      </c>
      <c r="AW18" s="4">
        <f t="shared" si="40"/>
        <v>-6.2529746681353675</v>
      </c>
      <c r="AX18" s="4">
        <f t="shared" si="41"/>
        <v>-6.9880383652855622</v>
      </c>
      <c r="AY18" s="4">
        <f t="shared" si="42"/>
        <v>10.702845735200992</v>
      </c>
      <c r="AZ18" s="4">
        <f t="shared" si="43"/>
        <v>51.587566179875388</v>
      </c>
      <c r="BA18" s="4">
        <f t="shared" si="44"/>
        <v>-0.12035057280512618</v>
      </c>
      <c r="BB18" s="4">
        <f t="shared" si="45"/>
        <v>-7.4569522503504553</v>
      </c>
      <c r="BC18" s="4">
        <f t="shared" si="46"/>
        <v>-2.7805667643740364</v>
      </c>
      <c r="BD18" s="4">
        <f t="shared" si="47"/>
        <v>30.973032469584833</v>
      </c>
      <c r="BE18" s="4">
        <f t="shared" si="48"/>
        <v>58.453430388258653</v>
      </c>
      <c r="BF18" s="4">
        <f t="shared" si="49"/>
        <v>-27.576277224453829</v>
      </c>
      <c r="BG18" s="4">
        <f t="shared" si="50"/>
        <v>-12.472878148286078</v>
      </c>
      <c r="BH18" s="4">
        <f t="shared" si="51"/>
        <v>-140.89045119231125</v>
      </c>
      <c r="BI18" s="4">
        <f t="shared" si="52"/>
        <v>-12.136032690994456</v>
      </c>
      <c r="BJ18" s="4">
        <f t="shared" si="53"/>
        <v>-213.83161210739979</v>
      </c>
      <c r="BK18" s="4">
        <f t="shared" si="54"/>
        <v>9.6703099945206497E-2</v>
      </c>
      <c r="BL18" s="4">
        <f t="shared" si="55"/>
        <v>7.2939012359143138</v>
      </c>
      <c r="BM18" s="4">
        <f t="shared" si="56"/>
        <v>11.28007258494886</v>
      </c>
      <c r="BN18" s="4">
        <f t="shared" si="57"/>
        <v>-20.278197092118113</v>
      </c>
      <c r="BO18" s="4">
        <f t="shared" si="58"/>
        <v>-139.40940447385717</v>
      </c>
      <c r="BP18" s="4">
        <f t="shared" si="59"/>
        <v>-60.248889614215635</v>
      </c>
      <c r="BQ18" s="4">
        <f t="shared" si="60"/>
        <v>-31.543389261902501</v>
      </c>
      <c r="BR18" s="4">
        <f t="shared" si="61"/>
        <v>119.81655401027083</v>
      </c>
      <c r="BS18" s="4">
        <f t="shared" si="62"/>
        <v>695.44667469743331</v>
      </c>
      <c r="BT18" s="4">
        <f t="shared" si="63"/>
        <v>1944.2455087337601</v>
      </c>
      <c r="BU18" s="4">
        <f t="shared" si="64"/>
        <v>14.572550299922211</v>
      </c>
      <c r="BV18" s="4">
        <f t="shared" si="65"/>
        <v>158.21867636867759</v>
      </c>
      <c r="BW18" s="4">
        <f t="shared" si="66"/>
        <v>-568.82801544069162</v>
      </c>
      <c r="BX18" s="4">
        <f t="shared" si="67"/>
        <v>-2207.1468193420487</v>
      </c>
      <c r="BY18" s="4">
        <f t="shared" si="68"/>
        <v>-4449.5589855490007</v>
      </c>
      <c r="BZ18" s="6">
        <f t="shared" si="69"/>
        <v>-0.29127556209277827</v>
      </c>
      <c r="CA18" s="7"/>
      <c r="CB18" s="6">
        <v>-0.29127506539543901</v>
      </c>
      <c r="CC18" s="6"/>
    </row>
    <row r="19" spans="1:81" x14ac:dyDescent="0.3">
      <c r="A19" s="4">
        <v>17</v>
      </c>
      <c r="B19" s="4">
        <v>45485159</v>
      </c>
      <c r="C19" s="4">
        <v>2.7389999999999999</v>
      </c>
      <c r="D19" s="4">
        <v>3.23</v>
      </c>
      <c r="E19" s="4">
        <v>0.76</v>
      </c>
      <c r="F19" s="4">
        <v>3.6179999999999999</v>
      </c>
      <c r="H19" s="6">
        <v>-2618.81325553337</v>
      </c>
      <c r="I19" s="4">
        <f t="shared" si="0"/>
        <v>127.1246649519</v>
      </c>
      <c r="J19" s="4">
        <f t="shared" si="1"/>
        <v>-1589.5742830300001</v>
      </c>
      <c r="K19" s="4">
        <f t="shared" si="2"/>
        <v>1800.3082159999999</v>
      </c>
      <c r="L19" s="4">
        <f t="shared" si="3"/>
        <v>11691.589142159999</v>
      </c>
      <c r="M19" s="4">
        <f t="shared" si="4"/>
        <v>28.987151398799217</v>
      </c>
      <c r="N19" s="4">
        <f t="shared" si="5"/>
        <v>22.380297408291899</v>
      </c>
      <c r="O19" s="4">
        <f t="shared" si="6"/>
        <v>-143.27950601711999</v>
      </c>
      <c r="P19" s="4">
        <f t="shared" si="7"/>
        <v>-379.96254083125791</v>
      </c>
      <c r="Q19" s="4">
        <f t="shared" si="8"/>
        <v>-125.20478950175</v>
      </c>
      <c r="R19" s="4">
        <f t="shared" si="9"/>
        <v>444.2122273128</v>
      </c>
      <c r="S19" s="4">
        <f t="shared" si="10"/>
        <v>4944.4568673733802</v>
      </c>
      <c r="T19" s="4">
        <f t="shared" si="11"/>
        <v>-239.74485133759998</v>
      </c>
      <c r="U19" s="4">
        <f t="shared" si="12"/>
        <v>-5653.3841776008012</v>
      </c>
      <c r="V19" s="4">
        <f t="shared" si="13"/>
        <v>-19460.759903974798</v>
      </c>
      <c r="W19" s="4">
        <f t="shared" si="14"/>
        <v>-0.74358115923761747</v>
      </c>
      <c r="X19" s="4">
        <f t="shared" si="15"/>
        <v>3.2152818566618966</v>
      </c>
      <c r="Y19" s="4">
        <f t="shared" si="16"/>
        <v>3.3912469249892436</v>
      </c>
      <c r="Z19" s="4">
        <f t="shared" si="17"/>
        <v>-71.186325365586782</v>
      </c>
      <c r="AA19" s="4">
        <f t="shared" si="18"/>
        <v>6.6392226300178576</v>
      </c>
      <c r="AB19" s="4">
        <f t="shared" si="19"/>
        <v>-72.453118794150598</v>
      </c>
      <c r="AC19" s="4">
        <f t="shared" si="20"/>
        <v>1.110909424797045</v>
      </c>
      <c r="AD19" s="4">
        <f t="shared" si="21"/>
        <v>129.80392369689886</v>
      </c>
      <c r="AE19" s="4">
        <f t="shared" si="22"/>
        <v>149.9369812723514</v>
      </c>
      <c r="AF19" s="4">
        <f t="shared" si="23"/>
        <v>428.29109905178876</v>
      </c>
      <c r="AG19" s="4">
        <f t="shared" si="24"/>
        <v>-14.588547128323214</v>
      </c>
      <c r="AH19" s="4">
        <f t="shared" si="25"/>
        <v>125.2886168934232</v>
      </c>
      <c r="AI19" s="4">
        <f t="shared" si="26"/>
        <v>181.94648902826194</v>
      </c>
      <c r="AJ19" s="4">
        <f t="shared" si="27"/>
        <v>-27.428624061862401</v>
      </c>
      <c r="AK19" s="4">
        <f t="shared" si="28"/>
        <v>-1102.7229748015968</v>
      </c>
      <c r="AL19" s="4">
        <f t="shared" si="29"/>
        <v>-4930.4004137607899</v>
      </c>
      <c r="AM19" s="4">
        <f t="shared" si="30"/>
        <v>-132.14019907148801</v>
      </c>
      <c r="AN19" s="4">
        <f t="shared" si="31"/>
        <v>675.77295484025274</v>
      </c>
      <c r="AO19" s="4">
        <f t="shared" si="32"/>
        <v>5946.9663039153011</v>
      </c>
      <c r="AP19" s="4">
        <f t="shared" si="33"/>
        <v>14183.070944125249</v>
      </c>
      <c r="AQ19" s="4">
        <f t="shared" si="34"/>
        <v>4.1535218482888258E-3</v>
      </c>
      <c r="AR19" s="4">
        <f t="shared" si="35"/>
        <v>-9.0964365475554948E-2</v>
      </c>
      <c r="AS19" s="4">
        <f t="shared" si="36"/>
        <v>5.1238580330436479E-3</v>
      </c>
      <c r="AT19" s="4">
        <f t="shared" si="37"/>
        <v>0.98688076163608551</v>
      </c>
      <c r="AU19" s="4">
        <f t="shared" si="38"/>
        <v>0.3185229538549339</v>
      </c>
      <c r="AV19" s="4">
        <f t="shared" si="39"/>
        <v>-5.5191048436365256E-3</v>
      </c>
      <c r="AW19" s="4">
        <f t="shared" si="40"/>
        <v>-4.2559217370863065</v>
      </c>
      <c r="AX19" s="4">
        <f t="shared" si="41"/>
        <v>-5.6099686099477859</v>
      </c>
      <c r="AY19" s="4">
        <f t="shared" si="42"/>
        <v>8.1393300360560747</v>
      </c>
      <c r="AZ19" s="4">
        <f t="shared" si="43"/>
        <v>37.163676788190713</v>
      </c>
      <c r="BA19" s="4">
        <f t="shared" si="44"/>
        <v>-7.9804510513207944E-2</v>
      </c>
      <c r="BB19" s="4">
        <f t="shared" si="45"/>
        <v>-5.5248827766256863</v>
      </c>
      <c r="BC19" s="4">
        <f t="shared" si="46"/>
        <v>-1.9515481704773616</v>
      </c>
      <c r="BD19" s="4">
        <f t="shared" si="47"/>
        <v>25.640581054297684</v>
      </c>
      <c r="BE19" s="4">
        <f t="shared" si="48"/>
        <v>45.839342586815441</v>
      </c>
      <c r="BF19" s="4">
        <f t="shared" si="49"/>
        <v>-20.485579604900323</v>
      </c>
      <c r="BG19" s="4">
        <f t="shared" si="50"/>
        <v>-11.537009326331997</v>
      </c>
      <c r="BH19" s="4">
        <f t="shared" si="51"/>
        <v>-123.45036161891196</v>
      </c>
      <c r="BI19" s="4">
        <f t="shared" si="52"/>
        <v>-10.073300426116829</v>
      </c>
      <c r="BJ19" s="4">
        <f t="shared" si="53"/>
        <v>-168.13231836242926</v>
      </c>
      <c r="BK19" s="4">
        <f t="shared" si="54"/>
        <v>6.6123929942826509E-2</v>
      </c>
      <c r="BL19" s="4">
        <f t="shared" si="55"/>
        <v>5.5726346175160186</v>
      </c>
      <c r="BM19" s="4">
        <f t="shared" si="56"/>
        <v>8.1638840282850005</v>
      </c>
      <c r="BN19" s="4">
        <f t="shared" si="57"/>
        <v>-17.310613470708425</v>
      </c>
      <c r="BO19" s="4">
        <f t="shared" si="58"/>
        <v>-112.735172491791</v>
      </c>
      <c r="BP19" s="4">
        <f t="shared" si="59"/>
        <v>-46.153076027878804</v>
      </c>
      <c r="BQ19" s="4">
        <f t="shared" si="60"/>
        <v>-30.086654849018693</v>
      </c>
      <c r="BR19" s="4">
        <f t="shared" si="61"/>
        <v>108.25964926633999</v>
      </c>
      <c r="BS19" s="4">
        <f t="shared" si="62"/>
        <v>595.24789481598577</v>
      </c>
      <c r="BT19" s="4">
        <f t="shared" si="63"/>
        <v>1576.4107219278349</v>
      </c>
      <c r="BU19" s="4">
        <f t="shared" si="64"/>
        <v>15.530432154605567</v>
      </c>
      <c r="BV19" s="4">
        <f t="shared" si="65"/>
        <v>159.73127821253374</v>
      </c>
      <c r="BW19" s="4">
        <f t="shared" si="66"/>
        <v>-543.9981718376556</v>
      </c>
      <c r="BX19" s="4">
        <f t="shared" si="67"/>
        <v>-1999.5484337399491</v>
      </c>
      <c r="BY19" s="4">
        <f t="shared" si="68"/>
        <v>-3818.580193595591</v>
      </c>
      <c r="BZ19" s="6">
        <f t="shared" si="69"/>
        <v>-0.42381581704512428</v>
      </c>
      <c r="CA19" s="7"/>
      <c r="CB19" s="6">
        <v>-0.42381426047086279</v>
      </c>
      <c r="CC19" s="6"/>
    </row>
    <row r="20" spans="1:81" x14ac:dyDescent="0.3">
      <c r="A20" s="4">
        <v>18</v>
      </c>
      <c r="B20" s="4">
        <v>24798788</v>
      </c>
      <c r="C20" s="4">
        <v>13.518000000000001</v>
      </c>
      <c r="D20" s="4">
        <v>6.3579999999999997</v>
      </c>
      <c r="E20" s="4">
        <v>0.873</v>
      </c>
      <c r="F20" s="4">
        <v>2.931</v>
      </c>
      <c r="H20" s="6">
        <v>-2618.81325553337</v>
      </c>
      <c r="I20" s="4">
        <f t="shared" si="0"/>
        <v>627.40825878780004</v>
      </c>
      <c r="J20" s="4">
        <f t="shared" si="1"/>
        <v>-3128.9514834379997</v>
      </c>
      <c r="K20" s="4">
        <f t="shared" si="2"/>
        <v>2067.9856218</v>
      </c>
      <c r="L20" s="4">
        <f t="shared" si="3"/>
        <v>9471.5444377200001</v>
      </c>
      <c r="M20" s="4">
        <f t="shared" si="4"/>
        <v>706.06772269442581</v>
      </c>
      <c r="N20" s="4">
        <f t="shared" si="5"/>
        <v>217.42238960938187</v>
      </c>
      <c r="O20" s="4">
        <f t="shared" si="6"/>
        <v>-812.27883415111194</v>
      </c>
      <c r="P20" s="4">
        <f t="shared" si="7"/>
        <v>-1519.1772528185818</v>
      </c>
      <c r="Q20" s="4">
        <f t="shared" si="8"/>
        <v>-485.12867413702998</v>
      </c>
      <c r="R20" s="4">
        <f t="shared" si="9"/>
        <v>1004.405683116924</v>
      </c>
      <c r="S20" s="4">
        <f t="shared" si="10"/>
        <v>7884.6759641463659</v>
      </c>
      <c r="T20" s="4">
        <f t="shared" si="11"/>
        <v>-316.33743733565399</v>
      </c>
      <c r="U20" s="4">
        <f t="shared" si="12"/>
        <v>-5260.8559026615303</v>
      </c>
      <c r="V20" s="4">
        <f t="shared" si="13"/>
        <v>-12771.8646199497</v>
      </c>
      <c r="W20" s="4">
        <f t="shared" si="14"/>
        <v>-89.390137786615909</v>
      </c>
      <c r="X20" s="4">
        <f t="shared" si="15"/>
        <v>154.16218986551198</v>
      </c>
      <c r="Y20" s="4">
        <f t="shared" si="16"/>
        <v>94.885725834108811</v>
      </c>
      <c r="Z20" s="4">
        <f t="shared" si="17"/>
        <v>-1404.7034558658495</v>
      </c>
      <c r="AA20" s="4">
        <f t="shared" si="18"/>
        <v>126.96196758157116</v>
      </c>
      <c r="AB20" s="4">
        <f t="shared" si="19"/>
        <v>-808.5300157734697</v>
      </c>
      <c r="AC20" s="4">
        <f t="shared" si="20"/>
        <v>8.7430773033860785</v>
      </c>
      <c r="AD20" s="4">
        <f t="shared" si="21"/>
        <v>845.29740001636765</v>
      </c>
      <c r="AE20" s="4">
        <f t="shared" si="22"/>
        <v>688.61595351519804</v>
      </c>
      <c r="AF20" s="4">
        <f t="shared" si="23"/>
        <v>1387.2475626965197</v>
      </c>
      <c r="AG20" s="4">
        <f t="shared" si="24"/>
        <v>-111.26691488225401</v>
      </c>
      <c r="AH20" s="4">
        <f t="shared" si="25"/>
        <v>557.63274578503558</v>
      </c>
      <c r="AI20" s="4">
        <f t="shared" si="26"/>
        <v>571.11943321327044</v>
      </c>
      <c r="AJ20" s="4">
        <f t="shared" si="27"/>
        <v>-71.239904099891831</v>
      </c>
      <c r="AK20" s="4">
        <f t="shared" si="28"/>
        <v>-2019.9114527440217</v>
      </c>
      <c r="AL20" s="4">
        <f t="shared" si="29"/>
        <v>-6369.3439860010694</v>
      </c>
      <c r="AM20" s="4">
        <f t="shared" si="30"/>
        <v>-200.27969023438297</v>
      </c>
      <c r="AN20" s="4">
        <f t="shared" si="31"/>
        <v>722.35280843382304</v>
      </c>
      <c r="AO20" s="4">
        <f t="shared" si="32"/>
        <v>4483.2260903005508</v>
      </c>
      <c r="AP20" s="4">
        <f t="shared" si="33"/>
        <v>7540.7065959549454</v>
      </c>
      <c r="AQ20" s="4">
        <f t="shared" si="34"/>
        <v>2.4643258841445745</v>
      </c>
      <c r="AR20" s="4">
        <f t="shared" si="35"/>
        <v>-21.525365041162875</v>
      </c>
      <c r="AS20" s="4">
        <f t="shared" si="36"/>
        <v>0.70755298779717679</v>
      </c>
      <c r="AT20" s="4">
        <f t="shared" si="37"/>
        <v>96.111016021292428</v>
      </c>
      <c r="AU20" s="4">
        <f t="shared" si="38"/>
        <v>30.061978284514101</v>
      </c>
      <c r="AV20" s="4">
        <f t="shared" si="39"/>
        <v>-0.30396817539893101</v>
      </c>
      <c r="AW20" s="4">
        <f t="shared" si="40"/>
        <v>-165.31022230357945</v>
      </c>
      <c r="AX20" s="4">
        <f t="shared" si="41"/>
        <v>-180.30283431084416</v>
      </c>
      <c r="AY20" s="4">
        <f t="shared" si="42"/>
        <v>184.4919349623033</v>
      </c>
      <c r="AZ20" s="4">
        <f t="shared" si="43"/>
        <v>594.09241266631602</v>
      </c>
      <c r="BA20" s="4">
        <f t="shared" si="44"/>
        <v>-3.0040133043118393</v>
      </c>
      <c r="BB20" s="4">
        <f t="shared" si="45"/>
        <v>-121.36127534285687</v>
      </c>
      <c r="BC20" s="4">
        <f t="shared" si="46"/>
        <v>-30.233118325612679</v>
      </c>
      <c r="BD20" s="4">
        <f t="shared" si="47"/>
        <v>328.67568496165859</v>
      </c>
      <c r="BE20" s="4">
        <f t="shared" si="48"/>
        <v>414.40472536804663</v>
      </c>
      <c r="BF20" s="4">
        <f t="shared" si="49"/>
        <v>-130.61142839592742</v>
      </c>
      <c r="BG20" s="4">
        <f t="shared" si="50"/>
        <v>-86.30095623646865</v>
      </c>
      <c r="BH20" s="4">
        <f t="shared" si="51"/>
        <v>-651.27039243180889</v>
      </c>
      <c r="BI20" s="4">
        <f t="shared" si="52"/>
        <v>-37.478945196586913</v>
      </c>
      <c r="BJ20" s="4">
        <f t="shared" si="53"/>
        <v>-441.17752407389719</v>
      </c>
      <c r="BK20" s="4">
        <f t="shared" si="54"/>
        <v>0.99272889308195245</v>
      </c>
      <c r="BL20" s="4">
        <f t="shared" si="55"/>
        <v>48.821961471522613</v>
      </c>
      <c r="BM20" s="4">
        <f t="shared" si="56"/>
        <v>50.44267233211098</v>
      </c>
      <c r="BN20" s="4">
        <f t="shared" si="57"/>
        <v>-88.501323299212231</v>
      </c>
      <c r="BO20" s="4">
        <f t="shared" si="58"/>
        <v>-406.48389508847816</v>
      </c>
      <c r="BP20" s="4">
        <f t="shared" si="59"/>
        <v>-117.36299010535626</v>
      </c>
      <c r="BQ20" s="4">
        <f t="shared" si="60"/>
        <v>-89.762276710589987</v>
      </c>
      <c r="BR20" s="4">
        <f t="shared" si="61"/>
        <v>227.78922434538032</v>
      </c>
      <c r="BS20" s="4">
        <f t="shared" si="62"/>
        <v>883.30569933126321</v>
      </c>
      <c r="BT20" s="4">
        <f t="shared" si="63"/>
        <v>1649.7918317276371</v>
      </c>
      <c r="BU20" s="4">
        <f t="shared" si="64"/>
        <v>27.03872111717348</v>
      </c>
      <c r="BV20" s="4">
        <f t="shared" si="65"/>
        <v>196.1278092130751</v>
      </c>
      <c r="BW20" s="4">
        <f t="shared" si="66"/>
        <v>-471.0784689520496</v>
      </c>
      <c r="BX20" s="4">
        <f t="shared" si="67"/>
        <v>-1221.1649971052043</v>
      </c>
      <c r="BY20" s="4">
        <f t="shared" si="68"/>
        <v>-1644.7160831357144</v>
      </c>
      <c r="BZ20" s="6">
        <f t="shared" si="69"/>
        <v>-0.24118700509302471</v>
      </c>
      <c r="CA20" s="7"/>
      <c r="CB20" s="6">
        <v>-0.24119275927978381</v>
      </c>
      <c r="CC20" s="6"/>
    </row>
    <row r="21" spans="1:81" x14ac:dyDescent="0.3">
      <c r="A21" s="4">
        <v>19</v>
      </c>
      <c r="B21" s="4">
        <v>25110811</v>
      </c>
      <c r="C21" s="4">
        <v>3.14</v>
      </c>
      <c r="D21" s="4">
        <v>2.6819999999999999</v>
      </c>
      <c r="E21" s="4">
        <v>0.96899999999999997</v>
      </c>
      <c r="F21" s="4">
        <v>3.0720000000000001</v>
      </c>
      <c r="H21" s="6">
        <v>-2618.81325553337</v>
      </c>
      <c r="I21" s="4">
        <f t="shared" si="0"/>
        <v>145.736198594</v>
      </c>
      <c r="J21" s="4">
        <f t="shared" si="1"/>
        <v>-1319.8879960019999</v>
      </c>
      <c r="K21" s="4">
        <f t="shared" si="2"/>
        <v>2295.3929753999996</v>
      </c>
      <c r="L21" s="4">
        <f t="shared" si="3"/>
        <v>9927.18680064</v>
      </c>
      <c r="M21" s="4">
        <f t="shared" si="4"/>
        <v>38.096122140872005</v>
      </c>
      <c r="N21" s="4">
        <f t="shared" si="5"/>
        <v>21.3039297090396</v>
      </c>
      <c r="O21" s="4">
        <f t="shared" si="6"/>
        <v>-209.42661640727999</v>
      </c>
      <c r="P21" s="4">
        <f t="shared" si="7"/>
        <v>-369.85461983232</v>
      </c>
      <c r="Q21" s="4">
        <f t="shared" si="8"/>
        <v>-86.324375416229998</v>
      </c>
      <c r="R21" s="4">
        <f t="shared" si="9"/>
        <v>470.28047117878793</v>
      </c>
      <c r="S21" s="4">
        <f t="shared" si="10"/>
        <v>3486.0008825671684</v>
      </c>
      <c r="T21" s="4">
        <f t="shared" si="11"/>
        <v>-389.73522395568597</v>
      </c>
      <c r="U21" s="4">
        <f t="shared" si="12"/>
        <v>-6120.2805823180806</v>
      </c>
      <c r="V21" s="4">
        <f t="shared" si="13"/>
        <v>-14030.239747276801</v>
      </c>
      <c r="W21" s="4">
        <f t="shared" si="14"/>
        <v>-1.1203177699494002</v>
      </c>
      <c r="X21" s="4">
        <f t="shared" si="15"/>
        <v>3.508734706491953</v>
      </c>
      <c r="Y21" s="4">
        <f t="shared" si="16"/>
        <v>5.6825704599499982</v>
      </c>
      <c r="Z21" s="4">
        <f t="shared" si="17"/>
        <v>-79.437296572035066</v>
      </c>
      <c r="AA21" s="4">
        <f t="shared" si="18"/>
        <v>5.2476800711496212</v>
      </c>
      <c r="AB21" s="4">
        <f t="shared" si="19"/>
        <v>-87.934872148291262</v>
      </c>
      <c r="AC21" s="4">
        <f t="shared" si="20"/>
        <v>0.89789420185701585</v>
      </c>
      <c r="AD21" s="4">
        <f t="shared" si="21"/>
        <v>241.9055351820671</v>
      </c>
      <c r="AE21" s="4">
        <f t="shared" si="22"/>
        <v>186.08407682665884</v>
      </c>
      <c r="AF21" s="4">
        <f t="shared" si="23"/>
        <v>353.98263867074155</v>
      </c>
      <c r="AG21" s="4">
        <f t="shared" si="24"/>
        <v>-8.35181366350165</v>
      </c>
      <c r="AH21" s="4">
        <f t="shared" si="25"/>
        <v>110.13726866989829</v>
      </c>
      <c r="AI21" s="4">
        <f t="shared" si="26"/>
        <v>106.51452396180665</v>
      </c>
      <c r="AJ21" s="4">
        <f t="shared" si="27"/>
        <v>-37.023770293713774</v>
      </c>
      <c r="AK21" s="4">
        <f t="shared" si="28"/>
        <v>-991.25526671246121</v>
      </c>
      <c r="AL21" s="4">
        <f t="shared" si="29"/>
        <v>-2951.5064730514887</v>
      </c>
      <c r="AM21" s="4">
        <f t="shared" si="30"/>
        <v>-273.88327417237423</v>
      </c>
      <c r="AN21" s="4">
        <f t="shared" si="31"/>
        <v>932.76840094965041</v>
      </c>
      <c r="AO21" s="4">
        <f t="shared" si="32"/>
        <v>5466.5202369476692</v>
      </c>
      <c r="AP21" s="4">
        <f t="shared" si="33"/>
        <v>8682.1687312137601</v>
      </c>
      <c r="AQ21" s="4">
        <f t="shared" si="34"/>
        <v>7.174092343902887E-3</v>
      </c>
      <c r="AR21" s="4">
        <f t="shared" si="35"/>
        <v>-0.11379951026227766</v>
      </c>
      <c r="AS21" s="4">
        <f t="shared" si="36"/>
        <v>9.8428330863411032E-3</v>
      </c>
      <c r="AT21" s="4">
        <f t="shared" si="37"/>
        <v>1.2624964894173709</v>
      </c>
      <c r="AU21" s="4">
        <f t="shared" si="38"/>
        <v>0.28862135985193921</v>
      </c>
      <c r="AV21" s="4">
        <f t="shared" si="39"/>
        <v>-7.6790997992066115E-3</v>
      </c>
      <c r="AW21" s="4">
        <f t="shared" si="40"/>
        <v>-3.9434629485763271</v>
      </c>
      <c r="AX21" s="4">
        <f t="shared" si="41"/>
        <v>-11.985496581881124</v>
      </c>
      <c r="AY21" s="4">
        <f t="shared" si="42"/>
        <v>11.580484349774322</v>
      </c>
      <c r="AZ21" s="4">
        <f t="shared" si="43"/>
        <v>35.21269002603615</v>
      </c>
      <c r="BA21" s="4">
        <f t="shared" si="44"/>
        <v>-5.2376178443005968E-2</v>
      </c>
      <c r="BB21" s="4">
        <f t="shared" si="45"/>
        <v>-5.5677967201831091</v>
      </c>
      <c r="BC21" s="4">
        <f t="shared" si="46"/>
        <v>-1.3097308058204529</v>
      </c>
      <c r="BD21" s="4">
        <f t="shared" si="47"/>
        <v>39.677298911175164</v>
      </c>
      <c r="BE21" s="4">
        <f t="shared" si="48"/>
        <v>47.238389317632219</v>
      </c>
      <c r="BF21" s="4">
        <f t="shared" si="49"/>
        <v>-14.058773068516215</v>
      </c>
      <c r="BG21" s="4">
        <f t="shared" si="50"/>
        <v>-27.413305995701066</v>
      </c>
      <c r="BH21" s="4">
        <f t="shared" si="51"/>
        <v>-195.34531531555427</v>
      </c>
      <c r="BI21" s="4">
        <f t="shared" si="52"/>
        <v>-10.615119431361752</v>
      </c>
      <c r="BJ21" s="4">
        <f t="shared" si="53"/>
        <v>-117.99042454841155</v>
      </c>
      <c r="BK21" s="4">
        <f t="shared" si="54"/>
        <v>3.1432842890303035E-2</v>
      </c>
      <c r="BL21" s="4">
        <f t="shared" si="55"/>
        <v>4.0676118774459509</v>
      </c>
      <c r="BM21" s="4">
        <f t="shared" si="56"/>
        <v>3.9684254771445606</v>
      </c>
      <c r="BN21" s="4">
        <f t="shared" si="57"/>
        <v>-19.401947764852572</v>
      </c>
      <c r="BO21" s="4">
        <f t="shared" si="58"/>
        <v>-84.146250648776416</v>
      </c>
      <c r="BP21" s="4">
        <f t="shared" si="59"/>
        <v>-22.94132256871902</v>
      </c>
      <c r="BQ21" s="4">
        <f t="shared" si="60"/>
        <v>-51.779840625365658</v>
      </c>
      <c r="BR21" s="4">
        <f t="shared" si="61"/>
        <v>124.07831449865213</v>
      </c>
      <c r="BS21" s="4">
        <f t="shared" si="62"/>
        <v>454.32810332973048</v>
      </c>
      <c r="BT21" s="4">
        <f t="shared" si="63"/>
        <v>801.27866214829896</v>
      </c>
      <c r="BU21" s="4">
        <f t="shared" si="64"/>
        <v>41.041599665144425</v>
      </c>
      <c r="BV21" s="4">
        <f t="shared" si="65"/>
        <v>281.10797726263098</v>
      </c>
      <c r="BW21" s="4">
        <f t="shared" si="66"/>
        <v>-637.56300282051802</v>
      </c>
      <c r="BX21" s="4">
        <f t="shared" si="67"/>
        <v>-1560.6303895224444</v>
      </c>
      <c r="BY21" s="4">
        <f t="shared" si="68"/>
        <v>-1984.7806211307516</v>
      </c>
      <c r="BZ21" s="6">
        <f t="shared" si="69"/>
        <v>-0.12735983869401934</v>
      </c>
      <c r="CA21" s="7"/>
      <c r="CB21" s="6">
        <v>-0.1273584958644278</v>
      </c>
      <c r="CC21" s="6"/>
    </row>
    <row r="22" spans="1:81" x14ac:dyDescent="0.3">
      <c r="A22" s="4">
        <v>20</v>
      </c>
      <c r="B22" s="4">
        <v>44446331</v>
      </c>
      <c r="C22" s="4">
        <v>11.045</v>
      </c>
      <c r="D22" s="4">
        <v>5.4720000000000004</v>
      </c>
      <c r="E22" s="4">
        <v>0.90600000000000003</v>
      </c>
      <c r="F22" s="4">
        <v>2.923</v>
      </c>
      <c r="H22" s="6">
        <v>-2618.81325553337</v>
      </c>
      <c r="I22" s="4">
        <f t="shared" si="0"/>
        <v>512.62939919450002</v>
      </c>
      <c r="J22" s="4">
        <f t="shared" si="1"/>
        <v>-2692.9258441920001</v>
      </c>
      <c r="K22" s="4">
        <f t="shared" si="2"/>
        <v>2146.1568996000001</v>
      </c>
      <c r="L22" s="4">
        <f t="shared" si="3"/>
        <v>9445.6923887600005</v>
      </c>
      <c r="M22" s="4">
        <f t="shared" si="4"/>
        <v>471.36020574996053</v>
      </c>
      <c r="N22" s="4">
        <f t="shared" si="5"/>
        <v>152.8914177434448</v>
      </c>
      <c r="O22" s="4">
        <f t="shared" si="6"/>
        <v>-688.76705983115994</v>
      </c>
      <c r="P22" s="4">
        <f t="shared" si="7"/>
        <v>-1237.8691052622651</v>
      </c>
      <c r="Q22" s="4">
        <f t="shared" si="8"/>
        <v>-359.34207821568003</v>
      </c>
      <c r="R22" s="4">
        <f t="shared" si="9"/>
        <v>897.11616136435202</v>
      </c>
      <c r="S22" s="4">
        <f t="shared" si="10"/>
        <v>6767.4088022627529</v>
      </c>
      <c r="T22" s="4">
        <f t="shared" si="11"/>
        <v>-340.70499444693598</v>
      </c>
      <c r="U22" s="4">
        <f t="shared" si="12"/>
        <v>-5444.8178725237813</v>
      </c>
      <c r="V22" s="4">
        <f t="shared" si="13"/>
        <v>-12702.239593263301</v>
      </c>
      <c r="W22" s="4">
        <f t="shared" si="14"/>
        <v>-48.758399453767481</v>
      </c>
      <c r="X22" s="4">
        <f t="shared" si="15"/>
        <v>88.574761611380254</v>
      </c>
      <c r="Y22" s="4">
        <f t="shared" si="16"/>
        <v>65.738742797035542</v>
      </c>
      <c r="Z22" s="4">
        <f t="shared" si="17"/>
        <v>-935.19936657099743</v>
      </c>
      <c r="AA22" s="4">
        <f t="shared" si="18"/>
        <v>76.838353928432227</v>
      </c>
      <c r="AB22" s="4">
        <f t="shared" si="19"/>
        <v>-590.05017627519305</v>
      </c>
      <c r="AC22" s="4">
        <f t="shared" si="20"/>
        <v>6.1313507127404563</v>
      </c>
      <c r="AD22" s="4">
        <f t="shared" si="21"/>
        <v>743.85916660621945</v>
      </c>
      <c r="AE22" s="4">
        <f t="shared" si="22"/>
        <v>582.31410384642652</v>
      </c>
      <c r="AF22" s="4">
        <f t="shared" si="23"/>
        <v>1127.2837390593161</v>
      </c>
      <c r="AG22" s="4">
        <f t="shared" si="24"/>
        <v>-70.932087618024127</v>
      </c>
      <c r="AH22" s="4">
        <f t="shared" si="25"/>
        <v>428.66038835753659</v>
      </c>
      <c r="AI22" s="4">
        <f t="shared" si="26"/>
        <v>421.88206697922868</v>
      </c>
      <c r="AJ22" s="4">
        <f t="shared" si="27"/>
        <v>-66.035397928625059</v>
      </c>
      <c r="AK22" s="4">
        <f t="shared" si="28"/>
        <v>-1799.2223928916603</v>
      </c>
      <c r="AL22" s="4">
        <f t="shared" si="29"/>
        <v>-5451.8796874073132</v>
      </c>
      <c r="AM22" s="4">
        <f t="shared" si="30"/>
        <v>-223.86117189825822</v>
      </c>
      <c r="AN22" s="4">
        <f t="shared" si="31"/>
        <v>775.87234182106681</v>
      </c>
      <c r="AO22" s="4">
        <f t="shared" si="32"/>
        <v>4627.3312393238048</v>
      </c>
      <c r="AP22" s="4">
        <f t="shared" si="33"/>
        <v>7479.1291680223903</v>
      </c>
      <c r="AQ22" s="4">
        <f t="shared" si="34"/>
        <v>1.0982753874441717</v>
      </c>
      <c r="AR22" s="4">
        <f t="shared" si="35"/>
        <v>-10.104990851612595</v>
      </c>
      <c r="AS22" s="4">
        <f t="shared" si="36"/>
        <v>0.40052788514347304</v>
      </c>
      <c r="AT22" s="4">
        <f t="shared" si="37"/>
        <v>52.281254444760961</v>
      </c>
      <c r="AU22" s="4">
        <f t="shared" si="38"/>
        <v>14.865353567563318</v>
      </c>
      <c r="AV22" s="4">
        <f t="shared" si="39"/>
        <v>-0.18124840435934148</v>
      </c>
      <c r="AW22" s="4">
        <f t="shared" si="40"/>
        <v>-94.720684573848757</v>
      </c>
      <c r="AX22" s="4">
        <f t="shared" si="41"/>
        <v>-129.63940165811965</v>
      </c>
      <c r="AY22" s="4">
        <f t="shared" si="42"/>
        <v>127.47085325904779</v>
      </c>
      <c r="AZ22" s="4">
        <f t="shared" si="43"/>
        <v>394.44509141134785</v>
      </c>
      <c r="BA22" s="4">
        <f t="shared" si="44"/>
        <v>-1.5647026758278326</v>
      </c>
      <c r="BB22" s="4">
        <f t="shared" si="45"/>
        <v>-76.225186212505619</v>
      </c>
      <c r="BC22" s="4">
        <f t="shared" si="46"/>
        <v>-18.247372974669698</v>
      </c>
      <c r="BD22" s="4">
        <f t="shared" si="47"/>
        <v>248.92833132275257</v>
      </c>
      <c r="BE22" s="4">
        <f t="shared" si="48"/>
        <v>301.59941377791034</v>
      </c>
      <c r="BF22" s="4">
        <f t="shared" si="49"/>
        <v>-91.345259960169258</v>
      </c>
      <c r="BG22" s="4">
        <f t="shared" si="50"/>
        <v>-78.815338994271784</v>
      </c>
      <c r="BH22" s="4">
        <f t="shared" si="51"/>
        <v>-571.5516962839049</v>
      </c>
      <c r="BI22" s="4">
        <f t="shared" si="52"/>
        <v>-31.606804164362597</v>
      </c>
      <c r="BJ22" s="4">
        <f t="shared" si="53"/>
        <v>-357.52436825465105</v>
      </c>
      <c r="BK22" s="4">
        <f t="shared" si="54"/>
        <v>0.54466933189021649</v>
      </c>
      <c r="BL22" s="4">
        <f t="shared" si="55"/>
        <v>32.300249203527805</v>
      </c>
      <c r="BM22" s="4">
        <f t="shared" si="56"/>
        <v>32.069174345968086</v>
      </c>
      <c r="BN22" s="4">
        <f t="shared" si="57"/>
        <v>-70.603918126771177</v>
      </c>
      <c r="BO22" s="4">
        <f t="shared" si="58"/>
        <v>-311.61720266285727</v>
      </c>
      <c r="BP22" s="4">
        <f t="shared" si="59"/>
        <v>-86.458618103283129</v>
      </c>
      <c r="BQ22" s="4">
        <f t="shared" si="60"/>
        <v>-86.349790145973444</v>
      </c>
      <c r="BR22" s="4">
        <f t="shared" si="61"/>
        <v>210.57152663498306</v>
      </c>
      <c r="BS22" s="4">
        <f t="shared" si="62"/>
        <v>784.65102349646031</v>
      </c>
      <c r="BT22" s="4">
        <f t="shared" si="63"/>
        <v>1408.2952190758438</v>
      </c>
      <c r="BU22" s="4">
        <f t="shared" si="64"/>
        <v>31.364759536712914</v>
      </c>
      <c r="BV22" s="4">
        <f t="shared" si="65"/>
        <v>218.62208710519698</v>
      </c>
      <c r="BW22" s="4">
        <f t="shared" si="66"/>
        <v>-504.5998959959004</v>
      </c>
      <c r="BX22" s="4">
        <f t="shared" si="67"/>
        <v>-1256.9768871998858</v>
      </c>
      <c r="BY22" s="4">
        <f t="shared" si="68"/>
        <v>-1626.832825955777</v>
      </c>
      <c r="BZ22" s="6">
        <f t="shared" si="69"/>
        <v>-6.168983944462525E-3</v>
      </c>
      <c r="CA22" s="7"/>
      <c r="CB22" s="6">
        <v>-6.1732992007819121E-3</v>
      </c>
      <c r="CC22" s="6"/>
    </row>
    <row r="23" spans="1:81" x14ac:dyDescent="0.3">
      <c r="A23" s="4">
        <v>21</v>
      </c>
      <c r="B23" s="4">
        <v>24936307</v>
      </c>
      <c r="C23" s="4">
        <v>10.313000000000001</v>
      </c>
      <c r="D23" s="4">
        <v>5.3579999999999997</v>
      </c>
      <c r="E23" s="4">
        <v>0.85299999999999998</v>
      </c>
      <c r="F23" s="4">
        <v>2.9020000000000001</v>
      </c>
      <c r="H23" s="6">
        <v>-2618.81325553337</v>
      </c>
      <c r="I23" s="4">
        <f t="shared" si="0"/>
        <v>478.65522805730001</v>
      </c>
      <c r="J23" s="4">
        <f t="shared" si="1"/>
        <v>-2636.8232224379999</v>
      </c>
      <c r="K23" s="4">
        <f t="shared" si="2"/>
        <v>2020.6090897999998</v>
      </c>
      <c r="L23" s="4">
        <f t="shared" si="3"/>
        <v>9377.83076024</v>
      </c>
      <c r="M23" s="4">
        <f t="shared" si="4"/>
        <v>410.95238931387462</v>
      </c>
      <c r="N23" s="4">
        <f t="shared" si="5"/>
        <v>139.78450276490656</v>
      </c>
      <c r="O23" s="4">
        <f t="shared" si="6"/>
        <v>-605.49770294481198</v>
      </c>
      <c r="P23" s="4">
        <f t="shared" si="7"/>
        <v>-1147.5262111601542</v>
      </c>
      <c r="Q23" s="4">
        <f t="shared" si="8"/>
        <v>-344.52545606702995</v>
      </c>
      <c r="R23" s="4">
        <f t="shared" si="9"/>
        <v>827.03927578316382</v>
      </c>
      <c r="S23" s="4">
        <f t="shared" si="10"/>
        <v>6578.814261716173</v>
      </c>
      <c r="T23" s="4">
        <f t="shared" si="11"/>
        <v>-302.00919587413398</v>
      </c>
      <c r="U23" s="4">
        <f t="shared" si="12"/>
        <v>-5089.4726344658602</v>
      </c>
      <c r="V23" s="4">
        <f t="shared" si="13"/>
        <v>-12520.3792971108</v>
      </c>
      <c r="W23" s="4">
        <f t="shared" si="14"/>
        <v>-39.692397653262191</v>
      </c>
      <c r="X23" s="4">
        <f t="shared" si="15"/>
        <v>75.614521426254058</v>
      </c>
      <c r="Y23" s="4">
        <f t="shared" si="16"/>
        <v>53.961103559107649</v>
      </c>
      <c r="Z23" s="4">
        <f t="shared" si="17"/>
        <v>-809.48982058307672</v>
      </c>
      <c r="AA23" s="4">
        <f t="shared" si="18"/>
        <v>68.787668755548736</v>
      </c>
      <c r="AB23" s="4">
        <f t="shared" si="19"/>
        <v>-507.90875155982718</v>
      </c>
      <c r="AC23" s="4">
        <f t="shared" si="20"/>
        <v>5.5654549195069656</v>
      </c>
      <c r="AD23" s="4">
        <f t="shared" si="21"/>
        <v>615.67523344918675</v>
      </c>
      <c r="AE23" s="4">
        <f t="shared" si="22"/>
        <v>508.23671208562354</v>
      </c>
      <c r="AF23" s="4">
        <f t="shared" si="23"/>
        <v>1037.5038701832798</v>
      </c>
      <c r="AG23" s="4">
        <f t="shared" si="24"/>
        <v>-66.590550245642689</v>
      </c>
      <c r="AH23" s="4">
        <f t="shared" si="25"/>
        <v>386.94338600743009</v>
      </c>
      <c r="AI23" s="4">
        <f t="shared" si="26"/>
        <v>401.58076157361137</v>
      </c>
      <c r="AJ23" s="4">
        <f t="shared" si="27"/>
        <v>-57.315896106177625</v>
      </c>
      <c r="AK23" s="4">
        <f t="shared" si="28"/>
        <v>-1646.7622183663841</v>
      </c>
      <c r="AL23" s="4">
        <f t="shared" si="29"/>
        <v>-5261.8694557865883</v>
      </c>
      <c r="AM23" s="4">
        <f t="shared" si="30"/>
        <v>-186.82770261835267</v>
      </c>
      <c r="AN23" s="4">
        <f t="shared" si="31"/>
        <v>682.81103345281372</v>
      </c>
      <c r="AO23" s="4">
        <f t="shared" si="32"/>
        <v>4294.2626908078028</v>
      </c>
      <c r="AP23" s="4">
        <f t="shared" si="33"/>
        <v>7319.0853561474296</v>
      </c>
      <c r="AQ23" s="4">
        <f t="shared" si="34"/>
        <v>0.83481153493174654</v>
      </c>
      <c r="AR23" s="4">
        <f t="shared" si="35"/>
        <v>-8.054719812352344</v>
      </c>
      <c r="AS23" s="4">
        <f t="shared" si="36"/>
        <v>0.30698099089007447</v>
      </c>
      <c r="AT23" s="4">
        <f t="shared" si="37"/>
        <v>42.254453093923722</v>
      </c>
      <c r="AU23" s="4">
        <f t="shared" si="38"/>
        <v>12.425877831794008</v>
      </c>
      <c r="AV23" s="4">
        <f t="shared" si="39"/>
        <v>-0.14567674902924241</v>
      </c>
      <c r="AW23" s="4">
        <f t="shared" si="40"/>
        <v>-80.280235267495954</v>
      </c>
      <c r="AX23" s="4">
        <f t="shared" si="41"/>
        <v>-100.18836284882632</v>
      </c>
      <c r="AY23" s="4">
        <f t="shared" si="42"/>
        <v>103.88166796115718</v>
      </c>
      <c r="AZ23" s="4">
        <f t="shared" si="43"/>
        <v>338.97083760603778</v>
      </c>
      <c r="BA23" s="4">
        <f t="shared" si="44"/>
        <v>-1.3715794970760713</v>
      </c>
      <c r="BB23" s="4">
        <f t="shared" si="45"/>
        <v>-64.246853982167821</v>
      </c>
      <c r="BC23" s="4">
        <f t="shared" si="46"/>
        <v>-16.218156260379377</v>
      </c>
      <c r="BD23" s="4">
        <f t="shared" si="47"/>
        <v>201.73995189642176</v>
      </c>
      <c r="BE23" s="4">
        <f t="shared" si="48"/>
        <v>257.74831653025421</v>
      </c>
      <c r="BF23" s="4">
        <f t="shared" si="49"/>
        <v>-82.318816831718806</v>
      </c>
      <c r="BG23" s="4">
        <f t="shared" si="50"/>
        <v>-61.417558173818158</v>
      </c>
      <c r="BH23" s="4">
        <f t="shared" si="51"/>
        <v>-469.66162378651131</v>
      </c>
      <c r="BI23" s="4">
        <f t="shared" si="52"/>
        <v>-27.387847569471184</v>
      </c>
      <c r="BJ23" s="4">
        <f t="shared" si="53"/>
        <v>-326.68615070125594</v>
      </c>
      <c r="BK23" s="4">
        <f t="shared" si="54"/>
        <v>0.50067903308771999</v>
      </c>
      <c r="BL23" s="4">
        <f t="shared" si="55"/>
        <v>28.549372570154645</v>
      </c>
      <c r="BM23" s="4">
        <f t="shared" si="56"/>
        <v>29.890021892839577</v>
      </c>
      <c r="BN23" s="4">
        <f t="shared" si="57"/>
        <v>-60.004484734712648</v>
      </c>
      <c r="BO23" s="4">
        <f t="shared" si="58"/>
        <v>-279.26987588711262</v>
      </c>
      <c r="BP23" s="4">
        <f t="shared" si="59"/>
        <v>-81.706896787455889</v>
      </c>
      <c r="BQ23" s="4">
        <f t="shared" si="60"/>
        <v>-70.563547688424379</v>
      </c>
      <c r="BR23" s="4">
        <f t="shared" si="61"/>
        <v>181.45399153914647</v>
      </c>
      <c r="BS23" s="4">
        <f t="shared" si="62"/>
        <v>713.0027175226486</v>
      </c>
      <c r="BT23" s="4">
        <f t="shared" si="63"/>
        <v>1349.447843806726</v>
      </c>
      <c r="BU23" s="4">
        <f t="shared" si="64"/>
        <v>24.644799896837021</v>
      </c>
      <c r="BV23" s="4">
        <f t="shared" si="65"/>
        <v>181.14449038549435</v>
      </c>
      <c r="BW23" s="4">
        <f t="shared" si="66"/>
        <v>-440.88569624306194</v>
      </c>
      <c r="BX23" s="4">
        <f t="shared" si="67"/>
        <v>-1158.1209124716934</v>
      </c>
      <c r="BY23" s="4">
        <f t="shared" si="68"/>
        <v>-1580.5829685372883</v>
      </c>
      <c r="BZ23" s="6">
        <f t="shared" si="69"/>
        <v>-0.10561820796556276</v>
      </c>
      <c r="CA23" s="7"/>
      <c r="CB23" s="6">
        <v>-0.10562175133918569</v>
      </c>
      <c r="CC23" s="6"/>
    </row>
    <row r="24" spans="1:81" x14ac:dyDescent="0.3">
      <c r="A24" s="4">
        <v>22</v>
      </c>
      <c r="B24" s="4">
        <v>25128776</v>
      </c>
      <c r="C24" s="4">
        <v>5.5949999999999998</v>
      </c>
      <c r="D24" s="4">
        <v>3.3239999999999998</v>
      </c>
      <c r="E24" s="4">
        <v>0.51600000000000001</v>
      </c>
      <c r="F24" s="4">
        <v>3.419</v>
      </c>
      <c r="H24" s="6">
        <v>-2618.81325553337</v>
      </c>
      <c r="I24" s="4">
        <f t="shared" si="0"/>
        <v>259.67962774950001</v>
      </c>
      <c r="J24" s="4">
        <f t="shared" si="1"/>
        <v>-1635.8343395639999</v>
      </c>
      <c r="K24" s="4">
        <f t="shared" si="2"/>
        <v>1222.3145256</v>
      </c>
      <c r="L24" s="4">
        <f t="shared" si="3"/>
        <v>11048.519424280001</v>
      </c>
      <c r="M24" s="4">
        <f t="shared" si="4"/>
        <v>120.95439570580049</v>
      </c>
      <c r="N24" s="4">
        <f t="shared" si="5"/>
        <v>47.047050858540587</v>
      </c>
      <c r="O24" s="4">
        <f t="shared" si="6"/>
        <v>-198.71389839815998</v>
      </c>
      <c r="P24" s="4">
        <f t="shared" si="7"/>
        <v>-733.46497524709491</v>
      </c>
      <c r="Q24" s="4">
        <f t="shared" si="8"/>
        <v>-132.59829139452</v>
      </c>
      <c r="R24" s="4">
        <f t="shared" si="9"/>
        <v>310.37384100182396</v>
      </c>
      <c r="S24" s="4">
        <f t="shared" si="10"/>
        <v>4808.4778934894521</v>
      </c>
      <c r="T24" s="4">
        <f t="shared" si="11"/>
        <v>-110.51507122185599</v>
      </c>
      <c r="U24" s="4">
        <f t="shared" si="12"/>
        <v>-3627.2304339632406</v>
      </c>
      <c r="V24" s="4">
        <f t="shared" si="13"/>
        <v>-17378.843452709698</v>
      </c>
      <c r="W24" s="4">
        <f t="shared" si="14"/>
        <v>-6.3380046425661281</v>
      </c>
      <c r="X24" s="4">
        <f t="shared" si="15"/>
        <v>13.806819901210993</v>
      </c>
      <c r="Y24" s="4">
        <f t="shared" si="16"/>
        <v>9.6075275731066743</v>
      </c>
      <c r="Z24" s="4">
        <f t="shared" si="17"/>
        <v>-280.70052877815345</v>
      </c>
      <c r="AA24" s="4">
        <f t="shared" si="18"/>
        <v>14.362904606911343</v>
      </c>
      <c r="AB24" s="4">
        <f t="shared" si="19"/>
        <v>-103.40933503699402</v>
      </c>
      <c r="AC24" s="4">
        <f t="shared" si="20"/>
        <v>2.2068648676509697</v>
      </c>
      <c r="AD24" s="4">
        <f t="shared" si="21"/>
        <v>122.22726607536494</v>
      </c>
      <c r="AE24" s="4">
        <f t="shared" si="22"/>
        <v>196.50946308365528</v>
      </c>
      <c r="AF24" s="4">
        <f t="shared" si="23"/>
        <v>781.28265706121374</v>
      </c>
      <c r="AG24" s="4">
        <f t="shared" si="24"/>
        <v>-15.899648417710827</v>
      </c>
      <c r="AH24" s="4">
        <f t="shared" si="25"/>
        <v>90.08753625327617</v>
      </c>
      <c r="AI24" s="4">
        <f t="shared" si="26"/>
        <v>182.09214145925253</v>
      </c>
      <c r="AJ24" s="4">
        <f t="shared" si="27"/>
        <v>-13.011720732199985</v>
      </c>
      <c r="AK24" s="4">
        <f t="shared" si="28"/>
        <v>-728.10089252992907</v>
      </c>
      <c r="AL24" s="4">
        <f t="shared" si="29"/>
        <v>-4531.0803173446238</v>
      </c>
      <c r="AM24" s="4">
        <f t="shared" si="30"/>
        <v>-41.356453098786041</v>
      </c>
      <c r="AN24" s="4">
        <f t="shared" si="31"/>
        <v>294.37678901718732</v>
      </c>
      <c r="AO24" s="4">
        <f t="shared" si="32"/>
        <v>3605.7255196795709</v>
      </c>
      <c r="AP24" s="4">
        <f t="shared" si="33"/>
        <v>11969.110875517901</v>
      </c>
      <c r="AQ24" s="4">
        <f t="shared" si="34"/>
        <v>7.2318387451395627E-2</v>
      </c>
      <c r="AR24" s="4">
        <f t="shared" si="35"/>
        <v>-0.79791010110987104</v>
      </c>
      <c r="AS24" s="4">
        <f t="shared" si="36"/>
        <v>2.9652230907860289E-2</v>
      </c>
      <c r="AT24" s="4">
        <f t="shared" si="37"/>
        <v>7.9491262932522142</v>
      </c>
      <c r="AU24" s="4">
        <f t="shared" si="38"/>
        <v>1.4075824305442151</v>
      </c>
      <c r="AV24" s="4">
        <f t="shared" si="39"/>
        <v>-1.6090863976585726E-2</v>
      </c>
      <c r="AW24" s="4">
        <f t="shared" si="40"/>
        <v>-17.270256241688017</v>
      </c>
      <c r="AX24" s="4">
        <f t="shared" si="41"/>
        <v>-10.790678844449605</v>
      </c>
      <c r="AY24" s="4">
        <f t="shared" si="42"/>
        <v>21.790712138667079</v>
      </c>
      <c r="AZ24" s="4">
        <f t="shared" si="43"/>
        <v>138.4828102448997</v>
      </c>
      <c r="BA24" s="4">
        <f t="shared" si="44"/>
        <v>-0.17766872065470218</v>
      </c>
      <c r="BB24" s="4">
        <f t="shared" si="45"/>
        <v>-8.1149196011433702</v>
      </c>
      <c r="BC24" s="4">
        <f t="shared" si="46"/>
        <v>-3.9896505509051066</v>
      </c>
      <c r="BD24" s="4">
        <f t="shared" si="47"/>
        <v>24.846580798740995</v>
      </c>
      <c r="BE24" s="4">
        <f t="shared" si="48"/>
        <v>61.826061207327051</v>
      </c>
      <c r="BF24" s="4">
        <f t="shared" si="49"/>
        <v>-38.457042661256096</v>
      </c>
      <c r="BG24" s="4">
        <f t="shared" si="50"/>
        <v>-7.3758084637104231</v>
      </c>
      <c r="BH24" s="4">
        <f t="shared" si="51"/>
        <v>-109.85078936296127</v>
      </c>
      <c r="BI24" s="4">
        <f t="shared" si="52"/>
        <v>-12.47604782948852</v>
      </c>
      <c r="BJ24" s="4">
        <f t="shared" si="53"/>
        <v>-289.83503063444357</v>
      </c>
      <c r="BK24" s="4">
        <f t="shared" si="54"/>
        <v>7.4163911708356373E-2</v>
      </c>
      <c r="BL24" s="4">
        <f t="shared" si="55"/>
        <v>4.1235584619315793</v>
      </c>
      <c r="BM24" s="4">
        <f t="shared" si="56"/>
        <v>8.4081963204771704</v>
      </c>
      <c r="BN24" s="4">
        <f t="shared" si="57"/>
        <v>-8.4508747162592694</v>
      </c>
      <c r="BO24" s="4">
        <f t="shared" si="58"/>
        <v>-76.602521756213818</v>
      </c>
      <c r="BP24" s="4">
        <f t="shared" si="59"/>
        <v>-43.649443734603452</v>
      </c>
      <c r="BQ24" s="4">
        <f t="shared" si="60"/>
        <v>-9.6903781441562256</v>
      </c>
      <c r="BR24" s="4">
        <f t="shared" si="61"/>
        <v>48.531963857480747</v>
      </c>
      <c r="BS24" s="4">
        <f t="shared" si="62"/>
        <v>371.40996075906213</v>
      </c>
      <c r="BT24" s="4">
        <f t="shared" si="63"/>
        <v>1369.0505613174164</v>
      </c>
      <c r="BU24" s="4">
        <f t="shared" si="64"/>
        <v>3.3001066715482623</v>
      </c>
      <c r="BV24" s="4">
        <f t="shared" si="65"/>
        <v>47.242060703846306</v>
      </c>
      <c r="BW24" s="4">
        <f t="shared" si="66"/>
        <v>-223.93951611011838</v>
      </c>
      <c r="BX24" s="4">
        <f t="shared" si="67"/>
        <v>-1145.6702938425958</v>
      </c>
      <c r="BY24" s="4">
        <f t="shared" si="68"/>
        <v>-3045.2578311705147</v>
      </c>
      <c r="BZ24" s="6">
        <f t="shared" si="69"/>
        <v>-1.0148324464744292</v>
      </c>
      <c r="CA24" s="7"/>
      <c r="CB24" s="6">
        <v>-1.0148307978606681</v>
      </c>
      <c r="CC24" s="6"/>
    </row>
    <row r="25" spans="1:81" x14ac:dyDescent="0.3">
      <c r="A25" s="4">
        <v>23</v>
      </c>
      <c r="B25" s="4">
        <v>72949778</v>
      </c>
      <c r="C25" s="4">
        <v>4.6139999999999999</v>
      </c>
      <c r="D25" s="4">
        <v>3.7130000000000001</v>
      </c>
      <c r="E25" s="4">
        <v>0.64600000000000002</v>
      </c>
      <c r="F25" s="4">
        <v>3.8809999999999998</v>
      </c>
      <c r="H25" s="6">
        <v>-2618.81325553337</v>
      </c>
      <c r="I25" s="4">
        <f t="shared" si="0"/>
        <v>214.1486688894</v>
      </c>
      <c r="J25" s="4">
        <f t="shared" si="1"/>
        <v>-1827.2722330930001</v>
      </c>
      <c r="K25" s="4">
        <f t="shared" si="2"/>
        <v>1530.2619835999999</v>
      </c>
      <c r="L25" s="4">
        <f t="shared" si="3"/>
        <v>12541.47525172</v>
      </c>
      <c r="M25" s="4">
        <f t="shared" si="4"/>
        <v>82.257717541536721</v>
      </c>
      <c r="N25" s="4">
        <f t="shared" si="5"/>
        <v>43.338496264147139</v>
      </c>
      <c r="O25" s="4">
        <f t="shared" si="6"/>
        <v>-205.158048429552</v>
      </c>
      <c r="P25" s="4">
        <f t="shared" si="7"/>
        <v>-686.59624084938582</v>
      </c>
      <c r="Q25" s="4">
        <f t="shared" si="8"/>
        <v>-165.4496284483175</v>
      </c>
      <c r="R25" s="4">
        <f t="shared" si="9"/>
        <v>434.042105266428</v>
      </c>
      <c r="S25" s="4">
        <f t="shared" si="10"/>
        <v>6096.9986634381512</v>
      </c>
      <c r="T25" s="4">
        <f t="shared" si="11"/>
        <v>-173.21565509141601</v>
      </c>
      <c r="U25" s="4">
        <f t="shared" si="12"/>
        <v>-5154.6894400990604</v>
      </c>
      <c r="V25" s="4">
        <f t="shared" si="13"/>
        <v>-22392.880115729695</v>
      </c>
      <c r="W25" s="4">
        <f t="shared" si="14"/>
        <v>-3.5545534648490391</v>
      </c>
      <c r="X25" s="4">
        <f t="shared" si="15"/>
        <v>10.488480922998319</v>
      </c>
      <c r="Y25" s="4">
        <f t="shared" si="16"/>
        <v>8.1799275015615009</v>
      </c>
      <c r="Z25" s="4">
        <f t="shared" si="17"/>
        <v>-216.69194677859505</v>
      </c>
      <c r="AA25" s="4">
        <f t="shared" si="18"/>
        <v>14.779088290026285</v>
      </c>
      <c r="AB25" s="4">
        <f t="shared" si="19"/>
        <v>-119.25703160983561</v>
      </c>
      <c r="AC25" s="4">
        <f t="shared" si="20"/>
        <v>2.3076063019324535</v>
      </c>
      <c r="AD25" s="4">
        <f t="shared" si="21"/>
        <v>157.98331766879792</v>
      </c>
      <c r="AE25" s="4">
        <f t="shared" si="22"/>
        <v>230.29702443451356</v>
      </c>
      <c r="AF25" s="4">
        <f t="shared" si="23"/>
        <v>830.18478011883656</v>
      </c>
      <c r="AG25" s="4">
        <f t="shared" si="24"/>
        <v>-22.160488181627702</v>
      </c>
      <c r="AH25" s="4">
        <f t="shared" si="25"/>
        <v>140.72634055665358</v>
      </c>
      <c r="AI25" s="4">
        <f t="shared" si="26"/>
        <v>257.90728731617645</v>
      </c>
      <c r="AJ25" s="4">
        <f t="shared" si="27"/>
        <v>-22.780554992221269</v>
      </c>
      <c r="AK25" s="4">
        <f t="shared" si="28"/>
        <v>-1155.8004410335859</v>
      </c>
      <c r="AL25" s="4">
        <f t="shared" si="29"/>
        <v>-6521.6093178582014</v>
      </c>
      <c r="AM25" s="4">
        <f t="shared" si="30"/>
        <v>-81.150599754777573</v>
      </c>
      <c r="AN25" s="4">
        <f t="shared" si="31"/>
        <v>523.73758160960551</v>
      </c>
      <c r="AO25" s="4">
        <f t="shared" si="32"/>
        <v>5816.5379219524202</v>
      </c>
      <c r="AP25" s="4">
        <f t="shared" si="33"/>
        <v>17506.346329599728</v>
      </c>
      <c r="AQ25" s="4">
        <f t="shared" si="34"/>
        <v>3.344712020618134E-2</v>
      </c>
      <c r="AR25" s="4">
        <f t="shared" si="35"/>
        <v>-0.49986231375873735</v>
      </c>
      <c r="AS25" s="4">
        <f t="shared" si="36"/>
        <v>2.0819614689955177E-2</v>
      </c>
      <c r="AT25" s="4">
        <f t="shared" si="37"/>
        <v>5.0605350463748842</v>
      </c>
      <c r="AU25" s="4">
        <f t="shared" si="38"/>
        <v>1.1944190026618866</v>
      </c>
      <c r="AV25" s="4">
        <f t="shared" si="39"/>
        <v>-1.5303159778320786E-2</v>
      </c>
      <c r="AW25" s="4">
        <f t="shared" si="40"/>
        <v>-14.892316448422896</v>
      </c>
      <c r="AX25" s="4">
        <f t="shared" si="41"/>
        <v>-11.501894996401969</v>
      </c>
      <c r="AY25" s="4">
        <f t="shared" si="42"/>
        <v>21.059777599691156</v>
      </c>
      <c r="AZ25" s="4">
        <f t="shared" si="43"/>
        <v>121.35004750020401</v>
      </c>
      <c r="BA25" s="4">
        <f t="shared" si="44"/>
        <v>-0.20421153827971966</v>
      </c>
      <c r="BB25" s="4">
        <f t="shared" si="45"/>
        <v>-10.453757113344521</v>
      </c>
      <c r="BC25" s="4">
        <f t="shared" si="46"/>
        <v>-4.6599876688302313</v>
      </c>
      <c r="BD25" s="4">
        <f t="shared" si="47"/>
        <v>35.873495727332717</v>
      </c>
      <c r="BE25" s="4">
        <f t="shared" si="48"/>
        <v>80.935745478742277</v>
      </c>
      <c r="BF25" s="4">
        <f t="shared" si="49"/>
        <v>-45.646386303184414</v>
      </c>
      <c r="BG25" s="4">
        <f t="shared" si="50"/>
        <v>-11.935361534717126</v>
      </c>
      <c r="BH25" s="4">
        <f t="shared" si="51"/>
        <v>-161.17246792086962</v>
      </c>
      <c r="BI25" s="4">
        <f t="shared" si="52"/>
        <v>-16.596879109010462</v>
      </c>
      <c r="BJ25" s="4">
        <f t="shared" si="53"/>
        <v>-349.5924139833333</v>
      </c>
      <c r="BK25" s="4">
        <f t="shared" si="54"/>
        <v>0.11546446953354056</v>
      </c>
      <c r="BL25" s="4">
        <f t="shared" si="55"/>
        <v>7.1952646909506939</v>
      </c>
      <c r="BM25" s="4">
        <f t="shared" si="56"/>
        <v>13.302681332887854</v>
      </c>
      <c r="BN25" s="4">
        <f t="shared" si="57"/>
        <v>-16.527043277254641</v>
      </c>
      <c r="BO25" s="4">
        <f t="shared" si="58"/>
        <v>-135.83081089445122</v>
      </c>
      <c r="BP25" s="4">
        <f t="shared" si="59"/>
        <v>-70.177140093145056</v>
      </c>
      <c r="BQ25" s="4">
        <f t="shared" si="60"/>
        <v>-21.239931310739113</v>
      </c>
      <c r="BR25" s="4">
        <f t="shared" si="61"/>
        <v>96.449942771970015</v>
      </c>
      <c r="BS25" s="4">
        <f t="shared" si="62"/>
        <v>669.25154303246245</v>
      </c>
      <c r="BT25" s="4">
        <f t="shared" si="63"/>
        <v>2236.7479480038396</v>
      </c>
      <c r="BU25" s="4">
        <f t="shared" si="64"/>
        <v>8.1069826499050741</v>
      </c>
      <c r="BV25" s="4">
        <f t="shared" si="65"/>
        <v>105.22570020797367</v>
      </c>
      <c r="BW25" s="4">
        <f t="shared" si="66"/>
        <v>-452.25716089913146</v>
      </c>
      <c r="BX25" s="4">
        <f t="shared" si="67"/>
        <v>-2097.8580304292705</v>
      </c>
      <c r="BY25" s="4">
        <f t="shared" si="68"/>
        <v>-5055.9437840153241</v>
      </c>
      <c r="BZ25" s="6">
        <f t="shared" si="69"/>
        <v>-0.16190671439835569</v>
      </c>
      <c r="CA25" s="7"/>
      <c r="CB25" s="6">
        <v>-0.1619073301030767</v>
      </c>
      <c r="CC25" s="6"/>
    </row>
    <row r="26" spans="1:81" x14ac:dyDescent="0.3">
      <c r="A26" s="4">
        <v>24</v>
      </c>
      <c r="B26" s="4">
        <v>24936442</v>
      </c>
      <c r="C26" s="4">
        <v>13.731999999999999</v>
      </c>
      <c r="D26" s="4">
        <v>6.8360000000000003</v>
      </c>
      <c r="E26" s="4">
        <v>0.90600000000000003</v>
      </c>
      <c r="F26" s="4">
        <v>2.903</v>
      </c>
      <c r="H26" s="6">
        <v>-2618.81325553337</v>
      </c>
      <c r="I26" s="4">
        <f t="shared" si="0"/>
        <v>637.34059843720001</v>
      </c>
      <c r="J26" s="4">
        <f t="shared" si="1"/>
        <v>-3364.1887921960001</v>
      </c>
      <c r="K26" s="4">
        <f t="shared" si="2"/>
        <v>2146.1568996000001</v>
      </c>
      <c r="L26" s="4">
        <f t="shared" si="3"/>
        <v>9381.0622663600006</v>
      </c>
      <c r="M26" s="4">
        <f t="shared" si="4"/>
        <v>728.59982706625556</v>
      </c>
      <c r="N26" s="4">
        <f t="shared" si="5"/>
        <v>237.46912265520299</v>
      </c>
      <c r="O26" s="4">
        <f t="shared" si="6"/>
        <v>-856.328589008736</v>
      </c>
      <c r="P26" s="4">
        <f t="shared" si="7"/>
        <v>-1528.4844294860839</v>
      </c>
      <c r="Q26" s="4">
        <f t="shared" si="8"/>
        <v>-560.81549683292008</v>
      </c>
      <c r="R26" s="4">
        <f t="shared" si="9"/>
        <v>1120.7394150377759</v>
      </c>
      <c r="S26" s="4">
        <f t="shared" si="10"/>
        <v>8396.4672375132359</v>
      </c>
      <c r="T26" s="4">
        <f t="shared" si="11"/>
        <v>-340.70499444693598</v>
      </c>
      <c r="U26" s="4">
        <f t="shared" si="12"/>
        <v>-5407.5628751065806</v>
      </c>
      <c r="V26" s="4">
        <f t="shared" si="13"/>
        <v>-12529.009577259301</v>
      </c>
      <c r="W26" s="4">
        <f t="shared" si="14"/>
        <v>-93.703036492878439</v>
      </c>
      <c r="X26" s="4">
        <f t="shared" si="15"/>
        <v>171.04174025107599</v>
      </c>
      <c r="Y26" s="4">
        <f t="shared" si="16"/>
        <v>101.61493492490729</v>
      </c>
      <c r="Z26" s="4">
        <f t="shared" si="17"/>
        <v>-1435.6830517545734</v>
      </c>
      <c r="AA26" s="4">
        <f t="shared" si="18"/>
        <v>149.09327610296819</v>
      </c>
      <c r="AB26" s="4">
        <f t="shared" si="19"/>
        <v>-916.45888141177625</v>
      </c>
      <c r="AC26" s="4">
        <f t="shared" si="20"/>
        <v>9.4579805986337089</v>
      </c>
      <c r="AD26" s="4">
        <f t="shared" si="21"/>
        <v>924.82336585211453</v>
      </c>
      <c r="AE26" s="4">
        <f t="shared" si="22"/>
        <v>719.02435969660178</v>
      </c>
      <c r="AF26" s="4">
        <f t="shared" si="23"/>
        <v>1382.4128367049354</v>
      </c>
      <c r="AG26" s="4">
        <f t="shared" si="24"/>
        <v>-138.29632444943394</v>
      </c>
      <c r="AH26" s="4">
        <f t="shared" si="25"/>
        <v>668.99871527162111</v>
      </c>
      <c r="AI26" s="4">
        <f t="shared" si="26"/>
        <v>653.91487446975168</v>
      </c>
      <c r="AJ26" s="4">
        <f t="shared" si="27"/>
        <v>-82.495975921067398</v>
      </c>
      <c r="AK26" s="4">
        <f t="shared" si="28"/>
        <v>-2232.3332779695197</v>
      </c>
      <c r="AL26" s="4">
        <f t="shared" si="29"/>
        <v>-6717.9794265171186</v>
      </c>
      <c r="AM26" s="4">
        <f t="shared" si="30"/>
        <v>-223.86117189825822</v>
      </c>
      <c r="AN26" s="4">
        <f t="shared" si="31"/>
        <v>770.56360188387168</v>
      </c>
      <c r="AO26" s="4">
        <f t="shared" si="32"/>
        <v>4564.2248352319621</v>
      </c>
      <c r="AP26" s="4">
        <f t="shared" si="33"/>
        <v>7326.6542132070554</v>
      </c>
      <c r="AQ26" s="4">
        <f t="shared" si="34"/>
        <v>2.624119141984079</v>
      </c>
      <c r="AR26" s="4">
        <f t="shared" si="35"/>
        <v>-24.26029701965988</v>
      </c>
      <c r="AS26" s="4">
        <f t="shared" si="36"/>
        <v>0.76972746149308524</v>
      </c>
      <c r="AT26" s="4">
        <f t="shared" si="37"/>
        <v>99.785731114099249</v>
      </c>
      <c r="AU26" s="4">
        <f t="shared" si="38"/>
        <v>35.861076552765276</v>
      </c>
      <c r="AV26" s="4">
        <f t="shared" si="39"/>
        <v>-0.34999859932300847</v>
      </c>
      <c r="AW26" s="4">
        <f t="shared" si="40"/>
        <v>-181.65826545881188</v>
      </c>
      <c r="AX26" s="4">
        <f t="shared" si="41"/>
        <v>-200.38867192616576</v>
      </c>
      <c r="AY26" s="4">
        <f t="shared" si="42"/>
        <v>195.68848114998778</v>
      </c>
      <c r="AZ26" s="4">
        <f t="shared" si="43"/>
        <v>601.39407626849231</v>
      </c>
      <c r="BA26" s="4">
        <f t="shared" si="44"/>
        <v>-3.7928685872002852</v>
      </c>
      <c r="BB26" s="4">
        <f t="shared" si="45"/>
        <v>-147.90351631642693</v>
      </c>
      <c r="BC26" s="4">
        <f t="shared" si="46"/>
        <v>-35.164024565148608</v>
      </c>
      <c r="BD26" s="4">
        <f t="shared" si="47"/>
        <v>386.6325089772555</v>
      </c>
      <c r="BE26" s="4">
        <f t="shared" si="48"/>
        <v>465.23540043851426</v>
      </c>
      <c r="BF26" s="4">
        <f t="shared" si="49"/>
        <v>-139.94149104984351</v>
      </c>
      <c r="BG26" s="4">
        <f t="shared" si="50"/>
        <v>-97.98933771564873</v>
      </c>
      <c r="BH26" s="4">
        <f t="shared" si="51"/>
        <v>-705.73525480403532</v>
      </c>
      <c r="BI26" s="4">
        <f t="shared" si="52"/>
        <v>-38.760118939083505</v>
      </c>
      <c r="BJ26" s="4">
        <f t="shared" si="53"/>
        <v>-435.44006274635086</v>
      </c>
      <c r="BK26" s="4">
        <f t="shared" si="54"/>
        <v>1.3266512909188319</v>
      </c>
      <c r="BL26" s="4">
        <f t="shared" si="55"/>
        <v>62.975810999725425</v>
      </c>
      <c r="BM26" s="4">
        <f t="shared" si="56"/>
        <v>62.09746840701672</v>
      </c>
      <c r="BN26" s="4">
        <f t="shared" si="57"/>
        <v>-110.18963217230096</v>
      </c>
      <c r="BO26" s="4">
        <f t="shared" si="58"/>
        <v>-483.00494358754088</v>
      </c>
      <c r="BP26" s="4">
        <f t="shared" si="59"/>
        <v>-133.0934434329574</v>
      </c>
      <c r="BQ26" s="4">
        <f t="shared" si="60"/>
        <v>-107.87411649083961</v>
      </c>
      <c r="BR26" s="4">
        <f t="shared" si="61"/>
        <v>261.26054686582745</v>
      </c>
      <c r="BS26" s="4">
        <f t="shared" si="62"/>
        <v>966.87192951457394</v>
      </c>
      <c r="BT26" s="4">
        <f t="shared" si="63"/>
        <v>1723.4723950856028</v>
      </c>
      <c r="BU26" s="4">
        <f t="shared" si="64"/>
        <v>31.364759536712914</v>
      </c>
      <c r="BV26" s="4">
        <f t="shared" si="65"/>
        <v>217.12621240724832</v>
      </c>
      <c r="BW26" s="4">
        <f t="shared" si="66"/>
        <v>-497.71828685782799</v>
      </c>
      <c r="BX26" s="4">
        <f t="shared" si="67"/>
        <v>-1231.3512441906473</v>
      </c>
      <c r="BY26" s="4">
        <f t="shared" si="68"/>
        <v>-1582.7627068360011</v>
      </c>
      <c r="BZ26" s="6">
        <f t="shared" si="69"/>
        <v>4.9558497019916103E-2</v>
      </c>
      <c r="CA26" s="7"/>
      <c r="CB26" s="6">
        <v>4.9551696454273042E-2</v>
      </c>
      <c r="CC26" s="6"/>
    </row>
    <row r="27" spans="1:81" x14ac:dyDescent="0.3">
      <c r="A27" s="4">
        <v>25</v>
      </c>
      <c r="B27" s="4">
        <v>45485151</v>
      </c>
      <c r="C27" s="4">
        <v>2.7389999999999999</v>
      </c>
      <c r="D27" s="4">
        <v>3.23</v>
      </c>
      <c r="E27" s="4">
        <v>0.76</v>
      </c>
      <c r="F27" s="4">
        <v>3.6179999999999999</v>
      </c>
      <c r="H27" s="6">
        <v>-2618.81325553337</v>
      </c>
      <c r="I27" s="4">
        <f t="shared" si="0"/>
        <v>127.1246649519</v>
      </c>
      <c r="J27" s="4">
        <f t="shared" si="1"/>
        <v>-1589.5742830300001</v>
      </c>
      <c r="K27" s="4">
        <f t="shared" si="2"/>
        <v>1800.3082159999999</v>
      </c>
      <c r="L27" s="4">
        <f t="shared" si="3"/>
        <v>11691.589142159999</v>
      </c>
      <c r="M27" s="4">
        <f t="shared" si="4"/>
        <v>28.987151398799217</v>
      </c>
      <c r="N27" s="4">
        <f t="shared" si="5"/>
        <v>22.380297408291899</v>
      </c>
      <c r="O27" s="4">
        <f t="shared" si="6"/>
        <v>-143.27950601711999</v>
      </c>
      <c r="P27" s="4">
        <f t="shared" si="7"/>
        <v>-379.96254083125791</v>
      </c>
      <c r="Q27" s="4">
        <f t="shared" si="8"/>
        <v>-125.20478950175</v>
      </c>
      <c r="R27" s="4">
        <f t="shared" si="9"/>
        <v>444.2122273128</v>
      </c>
      <c r="S27" s="4">
        <f t="shared" si="10"/>
        <v>4944.4568673733802</v>
      </c>
      <c r="T27" s="4">
        <f t="shared" si="11"/>
        <v>-239.74485133759998</v>
      </c>
      <c r="U27" s="4">
        <f t="shared" si="12"/>
        <v>-5653.3841776008012</v>
      </c>
      <c r="V27" s="4">
        <f t="shared" si="13"/>
        <v>-19460.759903974798</v>
      </c>
      <c r="W27" s="4">
        <f t="shared" si="14"/>
        <v>-0.74358115923761747</v>
      </c>
      <c r="X27" s="4">
        <f t="shared" si="15"/>
        <v>3.2152818566618966</v>
      </c>
      <c r="Y27" s="4">
        <f t="shared" si="16"/>
        <v>3.3912469249892436</v>
      </c>
      <c r="Z27" s="4">
        <f t="shared" si="17"/>
        <v>-71.186325365586782</v>
      </c>
      <c r="AA27" s="4">
        <f t="shared" si="18"/>
        <v>6.6392226300178576</v>
      </c>
      <c r="AB27" s="4">
        <f t="shared" si="19"/>
        <v>-72.453118794150598</v>
      </c>
      <c r="AC27" s="4">
        <f t="shared" si="20"/>
        <v>1.110909424797045</v>
      </c>
      <c r="AD27" s="4">
        <f t="shared" si="21"/>
        <v>129.80392369689886</v>
      </c>
      <c r="AE27" s="4">
        <f t="shared" si="22"/>
        <v>149.9369812723514</v>
      </c>
      <c r="AF27" s="4">
        <f t="shared" si="23"/>
        <v>428.29109905178876</v>
      </c>
      <c r="AG27" s="4">
        <f t="shared" si="24"/>
        <v>-14.588547128323214</v>
      </c>
      <c r="AH27" s="4">
        <f t="shared" si="25"/>
        <v>125.2886168934232</v>
      </c>
      <c r="AI27" s="4">
        <f t="shared" si="26"/>
        <v>181.94648902826194</v>
      </c>
      <c r="AJ27" s="4">
        <f t="shared" si="27"/>
        <v>-27.428624061862401</v>
      </c>
      <c r="AK27" s="4">
        <f t="shared" si="28"/>
        <v>-1102.7229748015968</v>
      </c>
      <c r="AL27" s="4">
        <f t="shared" si="29"/>
        <v>-4930.4004137607899</v>
      </c>
      <c r="AM27" s="4">
        <f t="shared" si="30"/>
        <v>-132.14019907148801</v>
      </c>
      <c r="AN27" s="4">
        <f t="shared" si="31"/>
        <v>675.77295484025274</v>
      </c>
      <c r="AO27" s="4">
        <f t="shared" si="32"/>
        <v>5946.9663039153011</v>
      </c>
      <c r="AP27" s="4">
        <f t="shared" si="33"/>
        <v>14183.070944125249</v>
      </c>
      <c r="AQ27" s="4">
        <f t="shared" si="34"/>
        <v>4.1535218482888258E-3</v>
      </c>
      <c r="AR27" s="4">
        <f t="shared" si="35"/>
        <v>-9.0964365475554948E-2</v>
      </c>
      <c r="AS27" s="4">
        <f t="shared" si="36"/>
        <v>5.1238580330436479E-3</v>
      </c>
      <c r="AT27" s="4">
        <f t="shared" si="37"/>
        <v>0.98688076163608551</v>
      </c>
      <c r="AU27" s="4">
        <f t="shared" si="38"/>
        <v>0.3185229538549339</v>
      </c>
      <c r="AV27" s="4">
        <f t="shared" si="39"/>
        <v>-5.5191048436365256E-3</v>
      </c>
      <c r="AW27" s="4">
        <f t="shared" si="40"/>
        <v>-4.2559217370863065</v>
      </c>
      <c r="AX27" s="4">
        <f t="shared" si="41"/>
        <v>-5.6099686099477859</v>
      </c>
      <c r="AY27" s="4">
        <f t="shared" si="42"/>
        <v>8.1393300360560747</v>
      </c>
      <c r="AZ27" s="4">
        <f t="shared" si="43"/>
        <v>37.163676788190713</v>
      </c>
      <c r="BA27" s="4">
        <f t="shared" si="44"/>
        <v>-7.9804510513207944E-2</v>
      </c>
      <c r="BB27" s="4">
        <f t="shared" si="45"/>
        <v>-5.5248827766256863</v>
      </c>
      <c r="BC27" s="4">
        <f t="shared" si="46"/>
        <v>-1.9515481704773616</v>
      </c>
      <c r="BD27" s="4">
        <f t="shared" si="47"/>
        <v>25.640581054297684</v>
      </c>
      <c r="BE27" s="4">
        <f t="shared" si="48"/>
        <v>45.839342586815441</v>
      </c>
      <c r="BF27" s="4">
        <f t="shared" si="49"/>
        <v>-20.485579604900323</v>
      </c>
      <c r="BG27" s="4">
        <f t="shared" si="50"/>
        <v>-11.537009326331997</v>
      </c>
      <c r="BH27" s="4">
        <f t="shared" si="51"/>
        <v>-123.45036161891196</v>
      </c>
      <c r="BI27" s="4">
        <f t="shared" si="52"/>
        <v>-10.073300426116829</v>
      </c>
      <c r="BJ27" s="4">
        <f t="shared" si="53"/>
        <v>-168.13231836242926</v>
      </c>
      <c r="BK27" s="4">
        <f t="shared" si="54"/>
        <v>6.6123929942826509E-2</v>
      </c>
      <c r="BL27" s="4">
        <f t="shared" si="55"/>
        <v>5.5726346175160186</v>
      </c>
      <c r="BM27" s="4">
        <f t="shared" si="56"/>
        <v>8.1638840282850005</v>
      </c>
      <c r="BN27" s="4">
        <f t="shared" si="57"/>
        <v>-17.310613470708425</v>
      </c>
      <c r="BO27" s="4">
        <f t="shared" si="58"/>
        <v>-112.735172491791</v>
      </c>
      <c r="BP27" s="4">
        <f t="shared" si="59"/>
        <v>-46.153076027878804</v>
      </c>
      <c r="BQ27" s="4">
        <f t="shared" si="60"/>
        <v>-30.086654849018693</v>
      </c>
      <c r="BR27" s="4">
        <f t="shared" si="61"/>
        <v>108.25964926633999</v>
      </c>
      <c r="BS27" s="4">
        <f t="shared" si="62"/>
        <v>595.24789481598577</v>
      </c>
      <c r="BT27" s="4">
        <f t="shared" si="63"/>
        <v>1576.4107219278349</v>
      </c>
      <c r="BU27" s="4">
        <f t="shared" si="64"/>
        <v>15.530432154605567</v>
      </c>
      <c r="BV27" s="4">
        <f t="shared" si="65"/>
        <v>159.73127821253374</v>
      </c>
      <c r="BW27" s="4">
        <f t="shared" si="66"/>
        <v>-543.9981718376556</v>
      </c>
      <c r="BX27" s="4">
        <f t="shared" si="67"/>
        <v>-1999.5484337399491</v>
      </c>
      <c r="BY27" s="4">
        <f t="shared" si="68"/>
        <v>-3818.580193595591</v>
      </c>
      <c r="BZ27" s="6">
        <f t="shared" si="69"/>
        <v>-0.42381581704512428</v>
      </c>
      <c r="CA27" s="7"/>
      <c r="CB27" s="6">
        <v>-0.42381426047086279</v>
      </c>
      <c r="CC27" s="6"/>
    </row>
    <row r="28" spans="1:81" x14ac:dyDescent="0.3">
      <c r="A28" s="4">
        <v>26</v>
      </c>
      <c r="B28" s="4">
        <v>72949779</v>
      </c>
      <c r="C28" s="4">
        <v>4.6139999999999999</v>
      </c>
      <c r="D28" s="4">
        <v>3.7130000000000001</v>
      </c>
      <c r="E28" s="4">
        <v>0.64600000000000002</v>
      </c>
      <c r="F28" s="4">
        <v>3.8809999999999998</v>
      </c>
      <c r="H28" s="6">
        <v>-2618.81325553337</v>
      </c>
      <c r="I28" s="4">
        <f t="shared" si="0"/>
        <v>214.1486688894</v>
      </c>
      <c r="J28" s="4">
        <f t="shared" si="1"/>
        <v>-1827.2722330930001</v>
      </c>
      <c r="K28" s="4">
        <f t="shared" si="2"/>
        <v>1530.2619835999999</v>
      </c>
      <c r="L28" s="4">
        <f t="shared" si="3"/>
        <v>12541.47525172</v>
      </c>
      <c r="M28" s="4">
        <f t="shared" si="4"/>
        <v>82.257717541536721</v>
      </c>
      <c r="N28" s="4">
        <f t="shared" si="5"/>
        <v>43.338496264147139</v>
      </c>
      <c r="O28" s="4">
        <f t="shared" si="6"/>
        <v>-205.158048429552</v>
      </c>
      <c r="P28" s="4">
        <f t="shared" si="7"/>
        <v>-686.59624084938582</v>
      </c>
      <c r="Q28" s="4">
        <f t="shared" si="8"/>
        <v>-165.4496284483175</v>
      </c>
      <c r="R28" s="4">
        <f t="shared" si="9"/>
        <v>434.042105266428</v>
      </c>
      <c r="S28" s="4">
        <f t="shared" si="10"/>
        <v>6096.9986634381512</v>
      </c>
      <c r="T28" s="4">
        <f t="shared" si="11"/>
        <v>-173.21565509141601</v>
      </c>
      <c r="U28" s="4">
        <f t="shared" si="12"/>
        <v>-5154.6894400990604</v>
      </c>
      <c r="V28" s="4">
        <f t="shared" si="13"/>
        <v>-22392.880115729695</v>
      </c>
      <c r="W28" s="4">
        <f t="shared" si="14"/>
        <v>-3.5545534648490391</v>
      </c>
      <c r="X28" s="4">
        <f t="shared" si="15"/>
        <v>10.488480922998319</v>
      </c>
      <c r="Y28" s="4">
        <f t="shared" si="16"/>
        <v>8.1799275015615009</v>
      </c>
      <c r="Z28" s="4">
        <f t="shared" si="17"/>
        <v>-216.69194677859505</v>
      </c>
      <c r="AA28" s="4">
        <f t="shared" si="18"/>
        <v>14.779088290026285</v>
      </c>
      <c r="AB28" s="4">
        <f t="shared" si="19"/>
        <v>-119.25703160983561</v>
      </c>
      <c r="AC28" s="4">
        <f t="shared" si="20"/>
        <v>2.3076063019324535</v>
      </c>
      <c r="AD28" s="4">
        <f t="shared" si="21"/>
        <v>157.98331766879792</v>
      </c>
      <c r="AE28" s="4">
        <f t="shared" si="22"/>
        <v>230.29702443451356</v>
      </c>
      <c r="AF28" s="4">
        <f t="shared" si="23"/>
        <v>830.18478011883656</v>
      </c>
      <c r="AG28" s="4">
        <f t="shared" si="24"/>
        <v>-22.160488181627702</v>
      </c>
      <c r="AH28" s="4">
        <f t="shared" si="25"/>
        <v>140.72634055665358</v>
      </c>
      <c r="AI28" s="4">
        <f t="shared" si="26"/>
        <v>257.90728731617645</v>
      </c>
      <c r="AJ28" s="4">
        <f t="shared" si="27"/>
        <v>-22.780554992221269</v>
      </c>
      <c r="AK28" s="4">
        <f t="shared" si="28"/>
        <v>-1155.8004410335859</v>
      </c>
      <c r="AL28" s="4">
        <f t="shared" si="29"/>
        <v>-6521.6093178582014</v>
      </c>
      <c r="AM28" s="4">
        <f t="shared" si="30"/>
        <v>-81.150599754777573</v>
      </c>
      <c r="AN28" s="4">
        <f t="shared" si="31"/>
        <v>523.73758160960551</v>
      </c>
      <c r="AO28" s="4">
        <f t="shared" si="32"/>
        <v>5816.5379219524202</v>
      </c>
      <c r="AP28" s="4">
        <f t="shared" si="33"/>
        <v>17506.346329599728</v>
      </c>
      <c r="AQ28" s="4">
        <f t="shared" si="34"/>
        <v>3.344712020618134E-2</v>
      </c>
      <c r="AR28" s="4">
        <f t="shared" si="35"/>
        <v>-0.49986231375873735</v>
      </c>
      <c r="AS28" s="4">
        <f t="shared" si="36"/>
        <v>2.0819614689955177E-2</v>
      </c>
      <c r="AT28" s="4">
        <f t="shared" si="37"/>
        <v>5.0605350463748842</v>
      </c>
      <c r="AU28" s="4">
        <f t="shared" si="38"/>
        <v>1.1944190026618866</v>
      </c>
      <c r="AV28" s="4">
        <f t="shared" si="39"/>
        <v>-1.5303159778320786E-2</v>
      </c>
      <c r="AW28" s="4">
        <f t="shared" si="40"/>
        <v>-14.892316448422896</v>
      </c>
      <c r="AX28" s="4">
        <f t="shared" si="41"/>
        <v>-11.501894996401969</v>
      </c>
      <c r="AY28" s="4">
        <f t="shared" si="42"/>
        <v>21.059777599691156</v>
      </c>
      <c r="AZ28" s="4">
        <f t="shared" si="43"/>
        <v>121.35004750020401</v>
      </c>
      <c r="BA28" s="4">
        <f t="shared" si="44"/>
        <v>-0.20421153827971966</v>
      </c>
      <c r="BB28" s="4">
        <f t="shared" si="45"/>
        <v>-10.453757113344521</v>
      </c>
      <c r="BC28" s="4">
        <f t="shared" si="46"/>
        <v>-4.6599876688302313</v>
      </c>
      <c r="BD28" s="4">
        <f t="shared" si="47"/>
        <v>35.873495727332717</v>
      </c>
      <c r="BE28" s="4">
        <f t="shared" si="48"/>
        <v>80.935745478742277</v>
      </c>
      <c r="BF28" s="4">
        <f t="shared" si="49"/>
        <v>-45.646386303184414</v>
      </c>
      <c r="BG28" s="4">
        <f t="shared" si="50"/>
        <v>-11.935361534717126</v>
      </c>
      <c r="BH28" s="4">
        <f t="shared" si="51"/>
        <v>-161.17246792086962</v>
      </c>
      <c r="BI28" s="4">
        <f t="shared" si="52"/>
        <v>-16.596879109010462</v>
      </c>
      <c r="BJ28" s="4">
        <f t="shared" si="53"/>
        <v>-349.5924139833333</v>
      </c>
      <c r="BK28" s="4">
        <f t="shared" si="54"/>
        <v>0.11546446953354056</v>
      </c>
      <c r="BL28" s="4">
        <f t="shared" si="55"/>
        <v>7.1952646909506939</v>
      </c>
      <c r="BM28" s="4">
        <f t="shared" si="56"/>
        <v>13.302681332887854</v>
      </c>
      <c r="BN28" s="4">
        <f t="shared" si="57"/>
        <v>-16.527043277254641</v>
      </c>
      <c r="BO28" s="4">
        <f t="shared" si="58"/>
        <v>-135.83081089445122</v>
      </c>
      <c r="BP28" s="4">
        <f t="shared" si="59"/>
        <v>-70.177140093145056</v>
      </c>
      <c r="BQ28" s="4">
        <f t="shared" si="60"/>
        <v>-21.239931310739113</v>
      </c>
      <c r="BR28" s="4">
        <f t="shared" si="61"/>
        <v>96.449942771970015</v>
      </c>
      <c r="BS28" s="4">
        <f t="shared" si="62"/>
        <v>669.25154303246245</v>
      </c>
      <c r="BT28" s="4">
        <f t="shared" si="63"/>
        <v>2236.7479480038396</v>
      </c>
      <c r="BU28" s="4">
        <f t="shared" si="64"/>
        <v>8.1069826499050741</v>
      </c>
      <c r="BV28" s="4">
        <f t="shared" si="65"/>
        <v>105.22570020797367</v>
      </c>
      <c r="BW28" s="4">
        <f t="shared" si="66"/>
        <v>-452.25716089913146</v>
      </c>
      <c r="BX28" s="4">
        <f t="shared" si="67"/>
        <v>-2097.8580304292705</v>
      </c>
      <c r="BY28" s="4">
        <f t="shared" si="68"/>
        <v>-5055.9437840153241</v>
      </c>
      <c r="BZ28" s="6">
        <f t="shared" si="69"/>
        <v>-0.16190671439835569</v>
      </c>
      <c r="CA28" s="7"/>
      <c r="CB28" s="6">
        <v>-0.1619073301030767</v>
      </c>
      <c r="CC28" s="6"/>
    </row>
    <row r="29" spans="1:81" x14ac:dyDescent="0.3">
      <c r="A29" s="4">
        <v>27</v>
      </c>
      <c r="B29" s="4">
        <v>44614584</v>
      </c>
      <c r="C29" s="4">
        <v>2.9630000000000001</v>
      </c>
      <c r="D29" s="4">
        <v>3.3</v>
      </c>
      <c r="E29" s="4">
        <v>0.755</v>
      </c>
      <c r="F29" s="4">
        <v>3.669</v>
      </c>
      <c r="H29" s="6">
        <v>-2618.81325553337</v>
      </c>
      <c r="I29" s="4">
        <f t="shared" si="0"/>
        <v>137.5211326223</v>
      </c>
      <c r="J29" s="4">
        <f t="shared" si="1"/>
        <v>-1624.0232612999998</v>
      </c>
      <c r="K29" s="4">
        <f t="shared" si="2"/>
        <v>1788.4640829999998</v>
      </c>
      <c r="L29" s="4">
        <f t="shared" si="3"/>
        <v>11856.39595428</v>
      </c>
      <c r="M29" s="4">
        <f t="shared" si="4"/>
        <v>33.922259903422585</v>
      </c>
      <c r="N29" s="4">
        <f t="shared" si="5"/>
        <v>24.735283382732995</v>
      </c>
      <c r="O29" s="4">
        <f t="shared" si="6"/>
        <v>-153.97742555302</v>
      </c>
      <c r="P29" s="4">
        <f t="shared" si="7"/>
        <v>-416.83055980131297</v>
      </c>
      <c r="Q29" s="4">
        <f t="shared" si="8"/>
        <v>-130.690427175</v>
      </c>
      <c r="R29" s="4">
        <f t="shared" si="9"/>
        <v>450.85333401899993</v>
      </c>
      <c r="S29" s="4">
        <f t="shared" si="10"/>
        <v>5122.8207443258998</v>
      </c>
      <c r="T29" s="4">
        <f t="shared" si="11"/>
        <v>-236.60069058815</v>
      </c>
      <c r="U29" s="4">
        <f t="shared" si="12"/>
        <v>-5695.357730154451</v>
      </c>
      <c r="V29" s="4">
        <f t="shared" si="13"/>
        <v>-20013.271777109698</v>
      </c>
      <c r="W29" s="4">
        <f t="shared" si="14"/>
        <v>-0.94134156371513045</v>
      </c>
      <c r="X29" s="4">
        <f t="shared" si="15"/>
        <v>3.8442330297851082</v>
      </c>
      <c r="Y29" s="4">
        <f t="shared" si="16"/>
        <v>3.9425028030265858</v>
      </c>
      <c r="Z29" s="4">
        <f t="shared" si="17"/>
        <v>-84.480205756622667</v>
      </c>
      <c r="AA29" s="4">
        <f t="shared" si="18"/>
        <v>7.4968649285735687</v>
      </c>
      <c r="AB29" s="4">
        <f t="shared" si="19"/>
        <v>-79.550237545539744</v>
      </c>
      <c r="AC29" s="4">
        <f t="shared" si="20"/>
        <v>1.2451131999615197</v>
      </c>
      <c r="AD29" s="4">
        <f t="shared" si="21"/>
        <v>138.57795826758138</v>
      </c>
      <c r="AE29" s="4">
        <f t="shared" si="22"/>
        <v>163.40332542340968</v>
      </c>
      <c r="AF29" s="4">
        <f t="shared" si="23"/>
        <v>476.47154159219821</v>
      </c>
      <c r="AG29" s="4">
        <f t="shared" si="24"/>
        <v>-15.557732335332</v>
      </c>
      <c r="AH29" s="4">
        <f t="shared" si="25"/>
        <v>129.91754622230997</v>
      </c>
      <c r="AI29" s="4">
        <f t="shared" si="26"/>
        <v>192.59529080056646</v>
      </c>
      <c r="AJ29" s="4">
        <f t="shared" si="27"/>
        <v>-27.655540981925999</v>
      </c>
      <c r="AK29" s="4">
        <f t="shared" si="28"/>
        <v>-1134.9855938557621</v>
      </c>
      <c r="AL29" s="4">
        <f t="shared" si="29"/>
        <v>-5180.2641678431555</v>
      </c>
      <c r="AM29" s="4">
        <f t="shared" si="30"/>
        <v>-129.5492892929735</v>
      </c>
      <c r="AN29" s="4">
        <f t="shared" si="31"/>
        <v>676.3113482489199</v>
      </c>
      <c r="AO29" s="4">
        <f t="shared" si="32"/>
        <v>6075.5714911101377</v>
      </c>
      <c r="AP29" s="4">
        <f t="shared" si="33"/>
        <v>14791.346910176288</v>
      </c>
      <c r="AQ29" s="4">
        <f t="shared" si="34"/>
        <v>5.6882015478156708E-3</v>
      </c>
      <c r="AR29" s="4">
        <f t="shared" si="35"/>
        <v>-0.11765261099323555</v>
      </c>
      <c r="AS29" s="4">
        <f t="shared" si="36"/>
        <v>6.4439076127791551E-3</v>
      </c>
      <c r="AT29" s="4">
        <f t="shared" si="37"/>
        <v>1.2669593759009636</v>
      </c>
      <c r="AU29" s="4">
        <f t="shared" si="38"/>
        <v>0.38908349478252052</v>
      </c>
      <c r="AV29" s="4">
        <f t="shared" si="39"/>
        <v>-6.5553013254784978E-3</v>
      </c>
      <c r="AW29" s="4">
        <f t="shared" si="40"/>
        <v>-5.1601632123139662</v>
      </c>
      <c r="AX29" s="4">
        <f t="shared" si="41"/>
        <v>-6.4789762560289654</v>
      </c>
      <c r="AY29" s="4">
        <f t="shared" si="42"/>
        <v>9.5957827249011878</v>
      </c>
      <c r="AZ29" s="4">
        <f t="shared" si="43"/>
        <v>44.725603695937259</v>
      </c>
      <c r="BA29" s="4">
        <f t="shared" si="44"/>
        <v>-9.20664314640081E-2</v>
      </c>
      <c r="BB29" s="4">
        <f t="shared" si="45"/>
        <v>-6.197533479642809</v>
      </c>
      <c r="BC29" s="4">
        <f t="shared" si="46"/>
        <v>-2.2347084906991244</v>
      </c>
      <c r="BD29" s="4">
        <f t="shared" si="47"/>
        <v>27.966982985449533</v>
      </c>
      <c r="BE29" s="4">
        <f t="shared" si="48"/>
        <v>51.038972866563292</v>
      </c>
      <c r="BF29" s="4">
        <f t="shared" si="49"/>
        <v>-23.284000038425482</v>
      </c>
      <c r="BG29" s="4">
        <f t="shared" si="50"/>
        <v>-12.235816097447902</v>
      </c>
      <c r="BH29" s="4">
        <f t="shared" si="51"/>
        <v>-133.65273599373921</v>
      </c>
      <c r="BI29" s="4">
        <f t="shared" si="52"/>
        <v>-11.132765560842332</v>
      </c>
      <c r="BJ29" s="4">
        <f t="shared" si="53"/>
        <v>-189.68293825234767</v>
      </c>
      <c r="BK29" s="4">
        <f t="shared" si="54"/>
        <v>7.2045079888943681E-2</v>
      </c>
      <c r="BL29" s="4">
        <f t="shared" si="55"/>
        <v>5.9037530163019643</v>
      </c>
      <c r="BM29" s="4">
        <f t="shared" si="56"/>
        <v>8.8289738113203597</v>
      </c>
      <c r="BN29" s="4">
        <f t="shared" si="57"/>
        <v>-17.83208037147471</v>
      </c>
      <c r="BO29" s="4">
        <f t="shared" si="58"/>
        <v>-118.54814900255633</v>
      </c>
      <c r="BP29" s="4">
        <f t="shared" si="59"/>
        <v>-49.542941116957358</v>
      </c>
      <c r="BQ29" s="4">
        <f t="shared" si="60"/>
        <v>-30.13598558589015</v>
      </c>
      <c r="BR29" s="4">
        <f t="shared" si="61"/>
        <v>110.69395411741064</v>
      </c>
      <c r="BS29" s="4">
        <f t="shared" si="62"/>
        <v>621.29941328137488</v>
      </c>
      <c r="BT29" s="4">
        <f t="shared" si="63"/>
        <v>1679.647876761775</v>
      </c>
      <c r="BU29" s="4">
        <f t="shared" si="64"/>
        <v>15.125752091393185</v>
      </c>
      <c r="BV29" s="4">
        <f t="shared" si="65"/>
        <v>158.80683642284842</v>
      </c>
      <c r="BW29" s="4">
        <f t="shared" si="66"/>
        <v>-552.10598794627458</v>
      </c>
      <c r="BX29" s="4">
        <f t="shared" si="67"/>
        <v>-2071.5848929913122</v>
      </c>
      <c r="BY29" s="4">
        <f t="shared" si="68"/>
        <v>-4038.4853570724231</v>
      </c>
      <c r="BZ29" s="6">
        <f t="shared" si="69"/>
        <v>-0.2495030310610673</v>
      </c>
      <c r="CA29" s="7"/>
      <c r="CB29" s="6">
        <v>-0.24950180862106211</v>
      </c>
      <c r="CC29" s="6"/>
    </row>
    <row r="30" spans="1:81" x14ac:dyDescent="0.3">
      <c r="A30" s="4">
        <v>28</v>
      </c>
      <c r="B30" s="4">
        <v>467231</v>
      </c>
      <c r="C30" s="4">
        <v>4.133</v>
      </c>
      <c r="D30" s="4">
        <v>3.3969999999999998</v>
      </c>
      <c r="E30" s="4">
        <v>0.59299999999999997</v>
      </c>
      <c r="F30" s="4">
        <v>3.879</v>
      </c>
      <c r="H30" s="6">
        <v>-2618.81325553337</v>
      </c>
      <c r="I30" s="4">
        <f t="shared" si="0"/>
        <v>191.8241110793</v>
      </c>
      <c r="J30" s="4">
        <f t="shared" si="1"/>
        <v>-1671.7597026169999</v>
      </c>
      <c r="K30" s="4">
        <f t="shared" si="2"/>
        <v>1404.7141737999998</v>
      </c>
      <c r="L30" s="4">
        <f t="shared" si="3"/>
        <v>12535.01223948</v>
      </c>
      <c r="M30" s="4">
        <f t="shared" si="4"/>
        <v>66.001268866524981</v>
      </c>
      <c r="N30" s="4">
        <f t="shared" si="5"/>
        <v>35.516670897859264</v>
      </c>
      <c r="O30" s="4">
        <f t="shared" si="6"/>
        <v>-168.69357796385199</v>
      </c>
      <c r="P30" s="4">
        <f t="shared" si="7"/>
        <v>-614.70305747745294</v>
      </c>
      <c r="Q30" s="4">
        <f t="shared" si="8"/>
        <v>-138.48635717561748</v>
      </c>
      <c r="R30" s="4">
        <f t="shared" si="9"/>
        <v>364.52274692670591</v>
      </c>
      <c r="S30" s="4">
        <f t="shared" si="10"/>
        <v>5575.2305890974212</v>
      </c>
      <c r="T30" s="4">
        <f t="shared" si="11"/>
        <v>-145.95920572717398</v>
      </c>
      <c r="U30" s="4">
        <f t="shared" si="12"/>
        <v>-4729.3430487815704</v>
      </c>
      <c r="V30" s="4">
        <f t="shared" si="13"/>
        <v>-22369.806567425698</v>
      </c>
      <c r="W30" s="4">
        <f t="shared" si="14"/>
        <v>-2.5547505200256038</v>
      </c>
      <c r="X30" s="4">
        <f t="shared" si="15"/>
        <v>7.6994343532565903</v>
      </c>
      <c r="Y30" s="4">
        <f t="shared" si="16"/>
        <v>6.0248641683885218</v>
      </c>
      <c r="Z30" s="4">
        <f t="shared" si="17"/>
        <v>-173.77789746084241</v>
      </c>
      <c r="AA30" s="4">
        <f t="shared" si="18"/>
        <v>11.080941293287989</v>
      </c>
      <c r="AB30" s="4">
        <f t="shared" si="19"/>
        <v>-89.714901234940484</v>
      </c>
      <c r="AC30" s="4">
        <f t="shared" si="20"/>
        <v>1.8901499795380419</v>
      </c>
      <c r="AD30" s="4">
        <f t="shared" si="21"/>
        <v>119.2458835035352</v>
      </c>
      <c r="AE30" s="4">
        <f t="shared" si="22"/>
        <v>189.26680635461489</v>
      </c>
      <c r="AF30" s="4">
        <f t="shared" si="23"/>
        <v>742.8734822303245</v>
      </c>
      <c r="AG30" s="4">
        <f t="shared" si="24"/>
        <v>-16.970362384603348</v>
      </c>
      <c r="AH30" s="4">
        <f t="shared" si="25"/>
        <v>108.12814813850927</v>
      </c>
      <c r="AI30" s="4">
        <f t="shared" si="26"/>
        <v>215.76497420095743</v>
      </c>
      <c r="AJ30" s="4">
        <f t="shared" si="27"/>
        <v>-17.562213350328303</v>
      </c>
      <c r="AK30" s="4">
        <f t="shared" si="28"/>
        <v>-970.17876733270862</v>
      </c>
      <c r="AL30" s="4">
        <f t="shared" si="29"/>
        <v>-5960.4307949653021</v>
      </c>
      <c r="AM30" s="4">
        <f t="shared" si="30"/>
        <v>-62.770886189520105</v>
      </c>
      <c r="AN30" s="4">
        <f t="shared" si="31"/>
        <v>441.0971239558063</v>
      </c>
      <c r="AO30" s="4">
        <f t="shared" si="32"/>
        <v>5333.8280749946816</v>
      </c>
      <c r="AP30" s="4">
        <f t="shared" si="33"/>
        <v>17479.295580337301</v>
      </c>
      <c r="AQ30" s="4">
        <f t="shared" si="34"/>
        <v>2.1533270270236243E-2</v>
      </c>
      <c r="AR30" s="4">
        <f t="shared" si="35"/>
        <v>-0.32868844595930041</v>
      </c>
      <c r="AS30" s="4">
        <f t="shared" si="36"/>
        <v>1.3735937573361964E-2</v>
      </c>
      <c r="AT30" s="4">
        <f t="shared" si="37"/>
        <v>3.6352645304622766</v>
      </c>
      <c r="AU30" s="4">
        <f t="shared" si="38"/>
        <v>0.80218313960403687</v>
      </c>
      <c r="AV30" s="4">
        <f t="shared" si="39"/>
        <v>-1.0312156987499044E-2</v>
      </c>
      <c r="AW30" s="4">
        <f t="shared" si="40"/>
        <v>-10.926589331338398</v>
      </c>
      <c r="AX30" s="4">
        <f t="shared" si="41"/>
        <v>-7.7765931674898869</v>
      </c>
      <c r="AY30" s="4">
        <f t="shared" si="42"/>
        <v>15.50342751025898</v>
      </c>
      <c r="AZ30" s="4">
        <f t="shared" si="43"/>
        <v>97.26752260558078</v>
      </c>
      <c r="BA30" s="4">
        <f t="shared" si="44"/>
        <v>-0.14008121011194447</v>
      </c>
      <c r="BB30" s="4">
        <f t="shared" si="45"/>
        <v>-7.1948805984752449</v>
      </c>
      <c r="BC30" s="4">
        <f t="shared" si="46"/>
        <v>-3.4921260767421214</v>
      </c>
      <c r="BD30" s="4">
        <f t="shared" si="47"/>
        <v>24.772877919659706</v>
      </c>
      <c r="BE30" s="4">
        <f t="shared" si="48"/>
        <v>60.855116226915889</v>
      </c>
      <c r="BF30" s="4">
        <f t="shared" si="49"/>
        <v>-37.369482854197237</v>
      </c>
      <c r="BG30" s="4">
        <f t="shared" si="50"/>
        <v>-8.2697031428809868</v>
      </c>
      <c r="BH30" s="4">
        <f t="shared" si="51"/>
        <v>-121.59036403139285</v>
      </c>
      <c r="BI30" s="4">
        <f t="shared" si="52"/>
        <v>-13.632913991545308</v>
      </c>
      <c r="BJ30" s="4">
        <f t="shared" si="53"/>
        <v>-312.66424915820414</v>
      </c>
      <c r="BK30" s="4">
        <f t="shared" si="54"/>
        <v>8.0896690563530257E-2</v>
      </c>
      <c r="BL30" s="4">
        <f t="shared" si="55"/>
        <v>5.058022340020969</v>
      </c>
      <c r="BM30" s="4">
        <f t="shared" si="56"/>
        <v>10.181859911166459</v>
      </c>
      <c r="BN30" s="4">
        <f t="shared" si="57"/>
        <v>-11.656836642205647</v>
      </c>
      <c r="BO30" s="4">
        <f t="shared" si="58"/>
        <v>-104.31284752490357</v>
      </c>
      <c r="BP30" s="4">
        <f t="shared" si="59"/>
        <v>-58.679868858280408</v>
      </c>
      <c r="BQ30" s="4">
        <f t="shared" si="60"/>
        <v>-15.031081571784267</v>
      </c>
      <c r="BR30" s="4">
        <f t="shared" si="61"/>
        <v>74.317836723941866</v>
      </c>
      <c r="BS30" s="4">
        <f t="shared" si="62"/>
        <v>561.48017669040905</v>
      </c>
      <c r="BT30" s="4">
        <f t="shared" si="63"/>
        <v>2043.2243508901904</v>
      </c>
      <c r="BU30" s="4">
        <f t="shared" si="64"/>
        <v>5.7563599782636725</v>
      </c>
      <c r="BV30" s="4">
        <f t="shared" si="65"/>
        <v>81.351298118314304</v>
      </c>
      <c r="BW30" s="4">
        <f t="shared" si="66"/>
        <v>-380.6992984746488</v>
      </c>
      <c r="BX30" s="4">
        <f t="shared" si="67"/>
        <v>-1922.7670916960001</v>
      </c>
      <c r="BY30" s="4">
        <f t="shared" si="68"/>
        <v>-5045.5298970811937</v>
      </c>
      <c r="BZ30" s="6">
        <f t="shared" si="69"/>
        <v>-0.25852601313545165</v>
      </c>
      <c r="CA30" s="7"/>
      <c r="CB30" s="6">
        <v>-0.25852566633238888</v>
      </c>
      <c r="CC30" s="6"/>
    </row>
    <row r="31" spans="1:81" x14ac:dyDescent="0.3">
      <c r="A31" s="4">
        <v>29</v>
      </c>
      <c r="B31" s="4">
        <v>9589740</v>
      </c>
      <c r="C31" s="4">
        <v>3.117</v>
      </c>
      <c r="D31" s="4">
        <v>5.734</v>
      </c>
      <c r="E31" s="4">
        <v>0.43</v>
      </c>
      <c r="F31" s="4">
        <v>3.492</v>
      </c>
      <c r="H31" s="6">
        <v>-2618.81325553337</v>
      </c>
      <c r="I31" s="4">
        <f t="shared" si="0"/>
        <v>144.66870414569999</v>
      </c>
      <c r="J31" s="4">
        <f t="shared" si="1"/>
        <v>-2821.8634485739999</v>
      </c>
      <c r="K31" s="4">
        <f t="shared" si="2"/>
        <v>1018.5954379999999</v>
      </c>
      <c r="L31" s="4">
        <f t="shared" si="3"/>
        <v>11284.41937104</v>
      </c>
      <c r="M31" s="4">
        <f t="shared" si="4"/>
        <v>37.540070066404979</v>
      </c>
      <c r="N31" s="4">
        <f t="shared" si="5"/>
        <v>45.213256649691054</v>
      </c>
      <c r="O31" s="4">
        <f t="shared" si="6"/>
        <v>-92.253682053479992</v>
      </c>
      <c r="P31" s="4">
        <f t="shared" si="7"/>
        <v>-417.34116659415594</v>
      </c>
      <c r="Q31" s="4">
        <f t="shared" si="8"/>
        <v>-394.57655340887004</v>
      </c>
      <c r="R31" s="4">
        <f t="shared" si="9"/>
        <v>446.17017757331996</v>
      </c>
      <c r="S31" s="4">
        <f t="shared" si="10"/>
        <v>8471.8728977999763</v>
      </c>
      <c r="T31" s="4">
        <f t="shared" si="11"/>
        <v>-76.74657723739999</v>
      </c>
      <c r="U31" s="4">
        <f t="shared" si="12"/>
        <v>-3087.2303488836001</v>
      </c>
      <c r="V31" s="4">
        <f t="shared" si="13"/>
        <v>-18128.886902452799</v>
      </c>
      <c r="W31" s="4">
        <f t="shared" si="14"/>
        <v>-1.0958792080615658</v>
      </c>
      <c r="X31" s="4">
        <f t="shared" si="15"/>
        <v>7.3920306029419089</v>
      </c>
      <c r="Y31" s="4">
        <f t="shared" si="16"/>
        <v>2.4848708209042667</v>
      </c>
      <c r="Z31" s="4">
        <f t="shared" si="17"/>
        <v>-88.97987428335459</v>
      </c>
      <c r="AA31" s="4">
        <f t="shared" si="18"/>
        <v>23.810709389061735</v>
      </c>
      <c r="AB31" s="4">
        <f t="shared" si="19"/>
        <v>-82.815548826137658</v>
      </c>
      <c r="AC31" s="4">
        <f t="shared" si="20"/>
        <v>2.1661287176275472</v>
      </c>
      <c r="AD31" s="4">
        <f t="shared" si="21"/>
        <v>47.287060415662857</v>
      </c>
      <c r="AE31" s="4">
        <f t="shared" si="22"/>
        <v>93.178146807550121</v>
      </c>
      <c r="AF31" s="4">
        <f t="shared" si="23"/>
        <v>454.04109650332992</v>
      </c>
      <c r="AG31" s="4">
        <f t="shared" si="24"/>
        <v>-81.616420087725928</v>
      </c>
      <c r="AH31" s="4">
        <f t="shared" si="25"/>
        <v>223.3967294882215</v>
      </c>
      <c r="AI31" s="4">
        <f t="shared" si="26"/>
        <v>553.4261607339082</v>
      </c>
      <c r="AJ31" s="4">
        <f t="shared" si="27"/>
        <v>-15.587228965778078</v>
      </c>
      <c r="AK31" s="4">
        <f t="shared" si="28"/>
        <v>-1069.0108794857404</v>
      </c>
      <c r="AL31" s="4">
        <f t="shared" si="29"/>
        <v>-8153.5868670538712</v>
      </c>
      <c r="AM31" s="4">
        <f t="shared" si="30"/>
        <v>-23.933132580315998</v>
      </c>
      <c r="AN31" s="4">
        <f t="shared" si="31"/>
        <v>208.79313055474677</v>
      </c>
      <c r="AO31" s="4">
        <f t="shared" si="32"/>
        <v>3134.4524510234633</v>
      </c>
      <c r="AP31" s="4">
        <f t="shared" si="33"/>
        <v>12752.263934935479</v>
      </c>
      <c r="AQ31" s="4">
        <f t="shared" si="34"/>
        <v>6.9661942326763012E-3</v>
      </c>
      <c r="AR31" s="4">
        <f t="shared" si="35"/>
        <v>-0.23799112983708159</v>
      </c>
      <c r="AS31" s="4">
        <f t="shared" si="36"/>
        <v>4.2725412225068935E-3</v>
      </c>
      <c r="AT31" s="4">
        <f t="shared" si="37"/>
        <v>1.4037981490584412</v>
      </c>
      <c r="AU31" s="4">
        <f t="shared" si="38"/>
        <v>1.2999917827855525</v>
      </c>
      <c r="AV31" s="4">
        <f t="shared" si="39"/>
        <v>-7.1790704276191693E-3</v>
      </c>
      <c r="AW31" s="4">
        <f t="shared" si="40"/>
        <v>-9.443739784023407</v>
      </c>
      <c r="AX31" s="4">
        <f t="shared" si="41"/>
        <v>-2.3257321576137335</v>
      </c>
      <c r="AY31" s="4">
        <f t="shared" si="42"/>
        <v>5.7562378996435957</v>
      </c>
      <c r="AZ31" s="4">
        <f t="shared" si="43"/>
        <v>44.835246254600371</v>
      </c>
      <c r="BA31" s="4">
        <f t="shared" si="44"/>
        <v>-0.50808656000025643</v>
      </c>
      <c r="BB31" s="4">
        <f t="shared" si="45"/>
        <v>-11.210707816802381</v>
      </c>
      <c r="BC31" s="4">
        <f t="shared" si="46"/>
        <v>-6.7552286045841941</v>
      </c>
      <c r="BD31" s="4">
        <f t="shared" si="47"/>
        <v>16.582023474674592</v>
      </c>
      <c r="BE31" s="4">
        <f t="shared" si="48"/>
        <v>50.570686890893946</v>
      </c>
      <c r="BF31" s="4">
        <f t="shared" si="49"/>
        <v>-38.553120650167934</v>
      </c>
      <c r="BG31" s="4">
        <f t="shared" si="50"/>
        <v>-2.3779493700337384</v>
      </c>
      <c r="BH31" s="4">
        <f t="shared" si="51"/>
        <v>-43.406276800309755</v>
      </c>
      <c r="BI31" s="4">
        <f t="shared" si="52"/>
        <v>-6.0420284359018384</v>
      </c>
      <c r="BJ31" s="4">
        <f t="shared" si="53"/>
        <v>-172.03348570890407</v>
      </c>
      <c r="BK31" s="4">
        <f t="shared" si="54"/>
        <v>0.65671860813259797</v>
      </c>
      <c r="BL31" s="4">
        <f t="shared" si="55"/>
        <v>17.639283106747673</v>
      </c>
      <c r="BM31" s="4">
        <f t="shared" si="56"/>
        <v>44.082680869732897</v>
      </c>
      <c r="BN31" s="4">
        <f t="shared" si="57"/>
        <v>-17.463549449090838</v>
      </c>
      <c r="BO31" s="4">
        <f t="shared" si="58"/>
        <v>-194.01276362221867</v>
      </c>
      <c r="BP31" s="4">
        <f t="shared" si="59"/>
        <v>-135.49470661903501</v>
      </c>
      <c r="BQ31" s="4">
        <f t="shared" si="60"/>
        <v>-9.6737232791036778</v>
      </c>
      <c r="BR31" s="4">
        <f t="shared" si="61"/>
        <v>59.379588161864341</v>
      </c>
      <c r="BS31" s="4">
        <f t="shared" si="62"/>
        <v>556.95389146415698</v>
      </c>
      <c r="BT31" s="4">
        <f t="shared" si="63"/>
        <v>2516.1791763860665</v>
      </c>
      <c r="BU31" s="4">
        <f t="shared" si="64"/>
        <v>1.5914866278685675</v>
      </c>
      <c r="BV31" s="4">
        <f t="shared" si="65"/>
        <v>27.922881253492076</v>
      </c>
      <c r="BW31" s="4">
        <f t="shared" si="66"/>
        <v>-162.22527230681231</v>
      </c>
      <c r="BX31" s="4">
        <f t="shared" si="67"/>
        <v>-1017.1940451162724</v>
      </c>
      <c r="BY31" s="4">
        <f t="shared" si="68"/>
        <v>-3313.7871203586797</v>
      </c>
      <c r="BZ31" s="6">
        <f t="shared" si="69"/>
        <v>-1.053177135311671</v>
      </c>
      <c r="CA31" s="7"/>
      <c r="CB31" s="6">
        <v>-1.0531773049337969</v>
      </c>
      <c r="CC31" s="6"/>
    </row>
    <row r="32" spans="1:81" x14ac:dyDescent="0.3">
      <c r="A32" s="4">
        <v>30</v>
      </c>
      <c r="B32" s="4">
        <v>73352268</v>
      </c>
      <c r="C32" s="4">
        <v>4.133</v>
      </c>
      <c r="D32" s="4">
        <v>3.3969999999999998</v>
      </c>
      <c r="E32" s="4">
        <v>0.59299999999999997</v>
      </c>
      <c r="F32" s="4">
        <v>3.879</v>
      </c>
      <c r="H32" s="6">
        <v>-2618.81325553337</v>
      </c>
      <c r="I32" s="4">
        <f t="shared" si="0"/>
        <v>191.8241110793</v>
      </c>
      <c r="J32" s="4">
        <f t="shared" si="1"/>
        <v>-1671.7597026169999</v>
      </c>
      <c r="K32" s="4">
        <f t="shared" si="2"/>
        <v>1404.7141737999998</v>
      </c>
      <c r="L32" s="4">
        <f t="shared" si="3"/>
        <v>12535.01223948</v>
      </c>
      <c r="M32" s="4">
        <f t="shared" si="4"/>
        <v>66.001268866524981</v>
      </c>
      <c r="N32" s="4">
        <f t="shared" si="5"/>
        <v>35.516670897859264</v>
      </c>
      <c r="O32" s="4">
        <f t="shared" si="6"/>
        <v>-168.69357796385199</v>
      </c>
      <c r="P32" s="4">
        <f t="shared" si="7"/>
        <v>-614.70305747745294</v>
      </c>
      <c r="Q32" s="4">
        <f t="shared" si="8"/>
        <v>-138.48635717561748</v>
      </c>
      <c r="R32" s="4">
        <f t="shared" si="9"/>
        <v>364.52274692670591</v>
      </c>
      <c r="S32" s="4">
        <f t="shared" si="10"/>
        <v>5575.2305890974212</v>
      </c>
      <c r="T32" s="4">
        <f t="shared" si="11"/>
        <v>-145.95920572717398</v>
      </c>
      <c r="U32" s="4">
        <f t="shared" si="12"/>
        <v>-4729.3430487815704</v>
      </c>
      <c r="V32" s="4">
        <f t="shared" si="13"/>
        <v>-22369.806567425698</v>
      </c>
      <c r="W32" s="4">
        <f t="shared" si="14"/>
        <v>-2.5547505200256038</v>
      </c>
      <c r="X32" s="4">
        <f t="shared" si="15"/>
        <v>7.6994343532565903</v>
      </c>
      <c r="Y32" s="4">
        <f t="shared" si="16"/>
        <v>6.0248641683885218</v>
      </c>
      <c r="Z32" s="4">
        <f t="shared" si="17"/>
        <v>-173.77789746084241</v>
      </c>
      <c r="AA32" s="4">
        <f t="shared" si="18"/>
        <v>11.080941293287989</v>
      </c>
      <c r="AB32" s="4">
        <f t="shared" si="19"/>
        <v>-89.714901234940484</v>
      </c>
      <c r="AC32" s="4">
        <f t="shared" si="20"/>
        <v>1.8901499795380419</v>
      </c>
      <c r="AD32" s="4">
        <f t="shared" si="21"/>
        <v>119.2458835035352</v>
      </c>
      <c r="AE32" s="4">
        <f t="shared" si="22"/>
        <v>189.26680635461489</v>
      </c>
      <c r="AF32" s="4">
        <f t="shared" si="23"/>
        <v>742.8734822303245</v>
      </c>
      <c r="AG32" s="4">
        <f t="shared" si="24"/>
        <v>-16.970362384603348</v>
      </c>
      <c r="AH32" s="4">
        <f t="shared" si="25"/>
        <v>108.12814813850927</v>
      </c>
      <c r="AI32" s="4">
        <f t="shared" si="26"/>
        <v>215.76497420095743</v>
      </c>
      <c r="AJ32" s="4">
        <f t="shared" si="27"/>
        <v>-17.562213350328303</v>
      </c>
      <c r="AK32" s="4">
        <f t="shared" si="28"/>
        <v>-970.17876733270862</v>
      </c>
      <c r="AL32" s="4">
        <f t="shared" si="29"/>
        <v>-5960.4307949653021</v>
      </c>
      <c r="AM32" s="4">
        <f t="shared" si="30"/>
        <v>-62.770886189520105</v>
      </c>
      <c r="AN32" s="4">
        <f t="shared" si="31"/>
        <v>441.0971239558063</v>
      </c>
      <c r="AO32" s="4">
        <f t="shared" si="32"/>
        <v>5333.8280749946816</v>
      </c>
      <c r="AP32" s="4">
        <f t="shared" si="33"/>
        <v>17479.295580337301</v>
      </c>
      <c r="AQ32" s="4">
        <f t="shared" si="34"/>
        <v>2.1533270270236243E-2</v>
      </c>
      <c r="AR32" s="4">
        <f t="shared" si="35"/>
        <v>-0.32868844595930041</v>
      </c>
      <c r="AS32" s="4">
        <f t="shared" si="36"/>
        <v>1.3735937573361964E-2</v>
      </c>
      <c r="AT32" s="4">
        <f t="shared" si="37"/>
        <v>3.6352645304622766</v>
      </c>
      <c r="AU32" s="4">
        <f t="shared" si="38"/>
        <v>0.80218313960403687</v>
      </c>
      <c r="AV32" s="4">
        <f t="shared" si="39"/>
        <v>-1.0312156987499044E-2</v>
      </c>
      <c r="AW32" s="4">
        <f t="shared" si="40"/>
        <v>-10.926589331338398</v>
      </c>
      <c r="AX32" s="4">
        <f t="shared" si="41"/>
        <v>-7.7765931674898869</v>
      </c>
      <c r="AY32" s="4">
        <f t="shared" si="42"/>
        <v>15.50342751025898</v>
      </c>
      <c r="AZ32" s="4">
        <f t="shared" si="43"/>
        <v>97.26752260558078</v>
      </c>
      <c r="BA32" s="4">
        <f t="shared" si="44"/>
        <v>-0.14008121011194447</v>
      </c>
      <c r="BB32" s="4">
        <f t="shared" si="45"/>
        <v>-7.1948805984752449</v>
      </c>
      <c r="BC32" s="4">
        <f t="shared" si="46"/>
        <v>-3.4921260767421214</v>
      </c>
      <c r="BD32" s="4">
        <f t="shared" si="47"/>
        <v>24.772877919659706</v>
      </c>
      <c r="BE32" s="4">
        <f t="shared" si="48"/>
        <v>60.855116226915889</v>
      </c>
      <c r="BF32" s="4">
        <f t="shared" si="49"/>
        <v>-37.369482854197237</v>
      </c>
      <c r="BG32" s="4">
        <f t="shared" si="50"/>
        <v>-8.2697031428809868</v>
      </c>
      <c r="BH32" s="4">
        <f t="shared" si="51"/>
        <v>-121.59036403139285</v>
      </c>
      <c r="BI32" s="4">
        <f t="shared" si="52"/>
        <v>-13.632913991545308</v>
      </c>
      <c r="BJ32" s="4">
        <f t="shared" si="53"/>
        <v>-312.66424915820414</v>
      </c>
      <c r="BK32" s="4">
        <f t="shared" si="54"/>
        <v>8.0896690563530257E-2</v>
      </c>
      <c r="BL32" s="4">
        <f t="shared" si="55"/>
        <v>5.058022340020969</v>
      </c>
      <c r="BM32" s="4">
        <f t="shared" si="56"/>
        <v>10.181859911166459</v>
      </c>
      <c r="BN32" s="4">
        <f t="shared" si="57"/>
        <v>-11.656836642205647</v>
      </c>
      <c r="BO32" s="4">
        <f t="shared" si="58"/>
        <v>-104.31284752490357</v>
      </c>
      <c r="BP32" s="4">
        <f t="shared" si="59"/>
        <v>-58.679868858280408</v>
      </c>
      <c r="BQ32" s="4">
        <f t="shared" si="60"/>
        <v>-15.031081571784267</v>
      </c>
      <c r="BR32" s="4">
        <f t="shared" si="61"/>
        <v>74.317836723941866</v>
      </c>
      <c r="BS32" s="4">
        <f t="shared" si="62"/>
        <v>561.48017669040905</v>
      </c>
      <c r="BT32" s="4">
        <f t="shared" si="63"/>
        <v>2043.2243508901904</v>
      </c>
      <c r="BU32" s="4">
        <f t="shared" si="64"/>
        <v>5.7563599782636725</v>
      </c>
      <c r="BV32" s="4">
        <f t="shared" si="65"/>
        <v>81.351298118314304</v>
      </c>
      <c r="BW32" s="4">
        <f t="shared" si="66"/>
        <v>-380.6992984746488</v>
      </c>
      <c r="BX32" s="4">
        <f t="shared" si="67"/>
        <v>-1922.7670916960001</v>
      </c>
      <c r="BY32" s="4">
        <f t="shared" si="68"/>
        <v>-5045.5298970811937</v>
      </c>
      <c r="BZ32" s="6">
        <f t="shared" si="69"/>
        <v>-0.25852601313545165</v>
      </c>
      <c r="CA32" s="7"/>
      <c r="CB32" s="6">
        <v>-0.25852566633238888</v>
      </c>
      <c r="CC32" s="6"/>
    </row>
    <row r="33" spans="1:81" x14ac:dyDescent="0.3">
      <c r="A33" s="4">
        <v>31</v>
      </c>
      <c r="B33" s="4">
        <v>118723245</v>
      </c>
      <c r="C33" s="4">
        <v>16.004000000000001</v>
      </c>
      <c r="D33" s="4">
        <v>6.3369999999999997</v>
      </c>
      <c r="E33" s="4">
        <v>0.96</v>
      </c>
      <c r="F33" s="4">
        <v>3.3580000000000001</v>
      </c>
      <c r="H33" s="6">
        <v>-2618.81325553337</v>
      </c>
      <c r="I33" s="4">
        <f t="shared" si="0"/>
        <v>742.79048480840004</v>
      </c>
      <c r="J33" s="4">
        <f t="shared" si="1"/>
        <v>-3118.616789957</v>
      </c>
      <c r="K33" s="4">
        <f t="shared" si="2"/>
        <v>2274.0735359999999</v>
      </c>
      <c r="L33" s="4">
        <f t="shared" si="3"/>
        <v>10851.39755096</v>
      </c>
      <c r="M33" s="4">
        <f t="shared" si="4"/>
        <v>989.64300592673339</v>
      </c>
      <c r="N33" s="4">
        <f t="shared" si="5"/>
        <v>256.55681104380795</v>
      </c>
      <c r="O33" s="4">
        <f t="shared" si="6"/>
        <v>-1057.4947664947201</v>
      </c>
      <c r="P33" s="4">
        <f t="shared" si="7"/>
        <v>-2060.5797278899281</v>
      </c>
      <c r="Q33" s="4">
        <f t="shared" si="8"/>
        <v>-481.92927887231747</v>
      </c>
      <c r="R33" s="4">
        <f t="shared" si="9"/>
        <v>1100.8530100627197</v>
      </c>
      <c r="S33" s="4">
        <f t="shared" si="10"/>
        <v>9003.5111508140817</v>
      </c>
      <c r="T33" s="4">
        <f t="shared" si="11"/>
        <v>-382.52918108159997</v>
      </c>
      <c r="U33" s="4">
        <f t="shared" si="12"/>
        <v>-6627.9354345408001</v>
      </c>
      <c r="V33" s="4">
        <f t="shared" si="13"/>
        <v>-16764.247083622802</v>
      </c>
      <c r="W33" s="4">
        <f t="shared" si="14"/>
        <v>-148.33304378111282</v>
      </c>
      <c r="X33" s="4">
        <f t="shared" si="15"/>
        <v>215.36407275079586</v>
      </c>
      <c r="Y33" s="4">
        <f t="shared" si="16"/>
        <v>146.248046806232</v>
      </c>
      <c r="Z33" s="4">
        <f t="shared" si="17"/>
        <v>-2255.7020043218527</v>
      </c>
      <c r="AA33" s="4">
        <f t="shared" si="18"/>
        <v>149.31935728681231</v>
      </c>
      <c r="AB33" s="4">
        <f t="shared" si="19"/>
        <v>-1049.1375245057798</v>
      </c>
      <c r="AC33" s="4">
        <f t="shared" si="20"/>
        <v>11.819755033322085</v>
      </c>
      <c r="AD33" s="4">
        <f t="shared" si="21"/>
        <v>1210.151134915707</v>
      </c>
      <c r="AE33" s="4">
        <f t="shared" si="22"/>
        <v>1027.1054727876535</v>
      </c>
      <c r="AF33" s="4">
        <f t="shared" si="23"/>
        <v>2155.7570635643601</v>
      </c>
      <c r="AG33" s="4">
        <f t="shared" si="24"/>
        <v>-110.16803343684806</v>
      </c>
      <c r="AH33" s="4">
        <f t="shared" si="25"/>
        <v>609.16034683545615</v>
      </c>
      <c r="AI33" s="4">
        <f t="shared" si="26"/>
        <v>650.00721668032475</v>
      </c>
      <c r="AJ33" s="4">
        <f t="shared" si="27"/>
        <v>-85.86189877764096</v>
      </c>
      <c r="AK33" s="4">
        <f t="shared" si="28"/>
        <v>-2536.3978586071216</v>
      </c>
      <c r="AL33" s="4">
        <f t="shared" si="29"/>
        <v>-8332.736228538377</v>
      </c>
      <c r="AM33" s="4">
        <f t="shared" si="30"/>
        <v>-266.322512314368</v>
      </c>
      <c r="AN33" s="4">
        <f t="shared" si="31"/>
        <v>1000.7560347199487</v>
      </c>
      <c r="AO33" s="4">
        <f t="shared" si="32"/>
        <v>6471.0890617295317</v>
      </c>
      <c r="AP33" s="4">
        <f t="shared" si="33"/>
        <v>11339.833111589116</v>
      </c>
      <c r="AQ33" s="4">
        <f t="shared" si="34"/>
        <v>4.8413060838918378</v>
      </c>
      <c r="AR33" s="4">
        <f t="shared" si="35"/>
        <v>-35.600984711551533</v>
      </c>
      <c r="AS33" s="4">
        <f t="shared" si="36"/>
        <v>1.2911130188957309</v>
      </c>
      <c r="AT33" s="4">
        <f t="shared" si="37"/>
        <v>182.72010810280472</v>
      </c>
      <c r="AU33" s="4">
        <f t="shared" si="38"/>
        <v>41.857773637802012</v>
      </c>
      <c r="AV33" s="4">
        <f t="shared" si="39"/>
        <v>-0.46696087132560887</v>
      </c>
      <c r="AW33" s="4">
        <f t="shared" si="40"/>
        <v>-264.58180079335125</v>
      </c>
      <c r="AX33" s="4">
        <f t="shared" si="41"/>
        <v>-305.59675168575382</v>
      </c>
      <c r="AY33" s="4">
        <f t="shared" si="42"/>
        <v>325.78527404193147</v>
      </c>
      <c r="AZ33" s="4">
        <f t="shared" si="43"/>
        <v>1092.9894093747316</v>
      </c>
      <c r="BA33" s="4">
        <f t="shared" si="44"/>
        <v>-3.5213362943036897</v>
      </c>
      <c r="BB33" s="4">
        <f t="shared" si="45"/>
        <v>-156.95660225624763</v>
      </c>
      <c r="BC33" s="4">
        <f t="shared" si="46"/>
        <v>-40.737116482745726</v>
      </c>
      <c r="BD33" s="4">
        <f t="shared" si="47"/>
        <v>468.98703774953719</v>
      </c>
      <c r="BE33" s="4">
        <f t="shared" si="48"/>
        <v>616.06402049848884</v>
      </c>
      <c r="BF33" s="4">
        <f t="shared" si="49"/>
        <v>-202.29735751862114</v>
      </c>
      <c r="BG33" s="4">
        <f t="shared" si="50"/>
        <v>-135.86346186895392</v>
      </c>
      <c r="BH33" s="4">
        <f t="shared" si="51"/>
        <v>-1068.2091351944816</v>
      </c>
      <c r="BI33" s="4">
        <f t="shared" si="52"/>
        <v>-64.045732383273943</v>
      </c>
      <c r="BJ33" s="4">
        <f t="shared" si="53"/>
        <v>-785.46004794661076</v>
      </c>
      <c r="BK33" s="4">
        <f t="shared" si="54"/>
        <v>0.97967809198300204</v>
      </c>
      <c r="BL33" s="4">
        <f t="shared" si="55"/>
        <v>53.157159211651468</v>
      </c>
      <c r="BM33" s="4">
        <f t="shared" si="56"/>
        <v>57.220613571679628</v>
      </c>
      <c r="BN33" s="4">
        <f t="shared" si="57"/>
        <v>-106.31391473425825</v>
      </c>
      <c r="BO33" s="4">
        <f t="shared" si="58"/>
        <v>-508.7349484581556</v>
      </c>
      <c r="BP33" s="4">
        <f t="shared" si="59"/>
        <v>-153.03377078644846</v>
      </c>
      <c r="BQ33" s="4">
        <f t="shared" si="60"/>
        <v>-118.96741113469011</v>
      </c>
      <c r="BR33" s="4">
        <f t="shared" si="61"/>
        <v>314.53951394754739</v>
      </c>
      <c r="BS33" s="4">
        <f t="shared" si="62"/>
        <v>1270.7524399034737</v>
      </c>
      <c r="BT33" s="4">
        <f t="shared" si="63"/>
        <v>2472.7883881560656</v>
      </c>
      <c r="BU33" s="4">
        <f t="shared" si="64"/>
        <v>39.537945983582205</v>
      </c>
      <c r="BV33" s="4">
        <f t="shared" si="65"/>
        <v>298.79616464879615</v>
      </c>
      <c r="BW33" s="4">
        <f t="shared" si="66"/>
        <v>-747.71652732804375</v>
      </c>
      <c r="BX33" s="4">
        <f t="shared" si="67"/>
        <v>-2019.4167622552268</v>
      </c>
      <c r="BY33" s="4">
        <f t="shared" si="68"/>
        <v>-2833.6775712663275</v>
      </c>
      <c r="BZ33" s="6">
        <f t="shared" si="69"/>
        <v>-0.2586459081439898</v>
      </c>
      <c r="CA33" s="7"/>
      <c r="CB33" s="6">
        <v>-0.25865486575139579</v>
      </c>
      <c r="CC33" s="6"/>
    </row>
    <row r="34" spans="1:81" x14ac:dyDescent="0.3">
      <c r="A34" s="4">
        <v>32</v>
      </c>
      <c r="B34" s="4">
        <v>3027142</v>
      </c>
      <c r="C34" s="4">
        <v>4.6139999999999999</v>
      </c>
      <c r="D34" s="4">
        <v>3.7130000000000001</v>
      </c>
      <c r="E34" s="4">
        <v>0.64300000000000002</v>
      </c>
      <c r="F34" s="4">
        <v>3.9039999999999999</v>
      </c>
      <c r="H34" s="6">
        <v>-2618.81325553337</v>
      </c>
      <c r="I34" s="4">
        <f t="shared" si="0"/>
        <v>214.1486688894</v>
      </c>
      <c r="J34" s="4">
        <f t="shared" si="1"/>
        <v>-1827.2722330930001</v>
      </c>
      <c r="K34" s="4">
        <f t="shared" si="2"/>
        <v>1523.1555037999999</v>
      </c>
      <c r="L34" s="4">
        <f t="shared" si="3"/>
        <v>12615.799892479999</v>
      </c>
      <c r="M34" s="4">
        <f t="shared" si="4"/>
        <v>82.257717541536721</v>
      </c>
      <c r="N34" s="4">
        <f t="shared" si="5"/>
        <v>43.338496264147139</v>
      </c>
      <c r="O34" s="4">
        <f t="shared" si="6"/>
        <v>-204.20530207461599</v>
      </c>
      <c r="P34" s="4">
        <f t="shared" si="7"/>
        <v>-690.6652214058239</v>
      </c>
      <c r="Q34" s="4">
        <f t="shared" si="8"/>
        <v>-165.4496284483175</v>
      </c>
      <c r="R34" s="4">
        <f t="shared" si="9"/>
        <v>432.02642985497397</v>
      </c>
      <c r="S34" s="4">
        <f t="shared" si="10"/>
        <v>6133.1313532755839</v>
      </c>
      <c r="T34" s="4">
        <f t="shared" si="11"/>
        <v>-171.610576593974</v>
      </c>
      <c r="U34" s="4">
        <f t="shared" si="12"/>
        <v>-5161.1576642643204</v>
      </c>
      <c r="V34" s="4">
        <f t="shared" si="13"/>
        <v>-22659.080772403198</v>
      </c>
      <c r="W34" s="4">
        <f t="shared" si="14"/>
        <v>-3.5545534648490391</v>
      </c>
      <c r="X34" s="4">
        <f t="shared" si="15"/>
        <v>10.488480922998319</v>
      </c>
      <c r="Y34" s="4">
        <f t="shared" si="16"/>
        <v>8.1419402221424839</v>
      </c>
      <c r="Z34" s="4">
        <f t="shared" si="17"/>
        <v>-217.97612992106033</v>
      </c>
      <c r="AA34" s="4">
        <f t="shared" si="18"/>
        <v>14.779088290026285</v>
      </c>
      <c r="AB34" s="4">
        <f t="shared" si="19"/>
        <v>-118.70320638564132</v>
      </c>
      <c r="AC34" s="4">
        <f t="shared" si="20"/>
        <v>2.3212818868189382</v>
      </c>
      <c r="AD34" s="4">
        <f t="shared" si="21"/>
        <v>156.51938748297894</v>
      </c>
      <c r="AE34" s="4">
        <f t="shared" si="22"/>
        <v>230.58600649559506</v>
      </c>
      <c r="AF34" s="4">
        <f t="shared" si="23"/>
        <v>840.05379797120042</v>
      </c>
      <c r="AG34" s="4">
        <f t="shared" si="24"/>
        <v>-22.160488181627702</v>
      </c>
      <c r="AH34" s="4">
        <f t="shared" si="25"/>
        <v>140.07281265933167</v>
      </c>
      <c r="AI34" s="4">
        <f t="shared" si="26"/>
        <v>259.4357252466769</v>
      </c>
      <c r="AJ34" s="4">
        <f t="shared" si="27"/>
        <v>-22.569462184481047</v>
      </c>
      <c r="AK34" s="4">
        <f t="shared" si="28"/>
        <v>-1157.2507663014392</v>
      </c>
      <c r="AL34" s="4">
        <f t="shared" si="29"/>
        <v>-6599.1364905135142</v>
      </c>
      <c r="AM34" s="4">
        <f t="shared" si="30"/>
        <v>-80.02526089280191</v>
      </c>
      <c r="AN34" s="4">
        <f t="shared" si="31"/>
        <v>521.95950983006196</v>
      </c>
      <c r="AO34" s="4">
        <f t="shared" si="32"/>
        <v>5858.3504966826231</v>
      </c>
      <c r="AP34" s="4">
        <f t="shared" si="33"/>
        <v>17819.438483612106</v>
      </c>
      <c r="AQ34" s="4">
        <f t="shared" si="34"/>
        <v>3.344712020618134E-2</v>
      </c>
      <c r="AR34" s="4">
        <f t="shared" si="35"/>
        <v>-0.49986231375873735</v>
      </c>
      <c r="AS34" s="4">
        <f t="shared" si="36"/>
        <v>2.0722929172819163E-2</v>
      </c>
      <c r="AT34" s="4">
        <f t="shared" si="37"/>
        <v>5.0905253339468048</v>
      </c>
      <c r="AU34" s="4">
        <f t="shared" si="38"/>
        <v>1.1944190026618866</v>
      </c>
      <c r="AV34" s="4">
        <f t="shared" si="39"/>
        <v>-1.5232092472848707E-2</v>
      </c>
      <c r="AW34" s="4">
        <f t="shared" si="40"/>
        <v>-14.980572897357122</v>
      </c>
      <c r="AX34" s="4">
        <f t="shared" si="41"/>
        <v>-11.395314304669357</v>
      </c>
      <c r="AY34" s="4">
        <f t="shared" si="42"/>
        <v>21.086203898301051</v>
      </c>
      <c r="AZ34" s="4">
        <f t="shared" si="43"/>
        <v>122.79262488037868</v>
      </c>
      <c r="BA34" s="4">
        <f t="shared" si="44"/>
        <v>-0.20421153827971966</v>
      </c>
      <c r="BB34" s="4">
        <f t="shared" si="45"/>
        <v>-10.405210253685027</v>
      </c>
      <c r="BC34" s="4">
        <f t="shared" si="46"/>
        <v>-4.6876041894133529</v>
      </c>
      <c r="BD34" s="4">
        <f t="shared" si="47"/>
        <v>35.541079026373261</v>
      </c>
      <c r="BE34" s="4">
        <f t="shared" si="48"/>
        <v>81.037305534071024</v>
      </c>
      <c r="BF34" s="4">
        <f t="shared" si="49"/>
        <v>-46.189018512434913</v>
      </c>
      <c r="BG34" s="4">
        <f t="shared" si="50"/>
        <v>-11.769850420722483</v>
      </c>
      <c r="BH34" s="4">
        <f t="shared" si="51"/>
        <v>-160.62529271918035</v>
      </c>
      <c r="BI34" s="4">
        <f t="shared" si="52"/>
        <v>-16.716186892668944</v>
      </c>
      <c r="BJ34" s="4">
        <f t="shared" si="53"/>
        <v>-355.84469757579046</v>
      </c>
      <c r="BK34" s="4">
        <f t="shared" si="54"/>
        <v>0.11546446953354056</v>
      </c>
      <c r="BL34" s="4">
        <f t="shared" si="55"/>
        <v>7.1618501490422544</v>
      </c>
      <c r="BM34" s="4">
        <f t="shared" si="56"/>
        <v>13.381517115071937</v>
      </c>
      <c r="BN34" s="4">
        <f t="shared" si="57"/>
        <v>-16.373897755987439</v>
      </c>
      <c r="BO34" s="4">
        <f t="shared" si="58"/>
        <v>-136.00125455427286</v>
      </c>
      <c r="BP34" s="4">
        <f t="shared" si="59"/>
        <v>-71.011387437824098</v>
      </c>
      <c r="BQ34" s="4">
        <f t="shared" si="60"/>
        <v>-20.945391033749218</v>
      </c>
      <c r="BR34" s="4">
        <f t="shared" si="61"/>
        <v>96.12249840402076</v>
      </c>
      <c r="BS34" s="4">
        <f t="shared" si="62"/>
        <v>674.06250283910902</v>
      </c>
      <c r="BT34" s="4">
        <f t="shared" si="63"/>
        <v>2276.7510542967393</v>
      </c>
      <c r="BU34" s="4">
        <f t="shared" si="64"/>
        <v>7.9574343310954205</v>
      </c>
      <c r="BV34" s="4">
        <f t="shared" si="65"/>
        <v>104.38145719007666</v>
      </c>
      <c r="BW34" s="4">
        <f t="shared" si="66"/>
        <v>-453.39287861742338</v>
      </c>
      <c r="BX34" s="4">
        <f t="shared" si="67"/>
        <v>-2125.4605485585626</v>
      </c>
      <c r="BY34" s="4">
        <f t="shared" si="68"/>
        <v>-5176.865735476953</v>
      </c>
      <c r="BZ34" s="6">
        <f t="shared" si="69"/>
        <v>-0.27997887923720555</v>
      </c>
      <c r="CA34" s="7"/>
      <c r="CB34" s="6">
        <v>-0.27997960966013119</v>
      </c>
      <c r="CC34" s="6"/>
    </row>
    <row r="35" spans="1:81" x14ac:dyDescent="0.3">
      <c r="A35" s="4">
        <v>33</v>
      </c>
      <c r="B35" s="4">
        <v>3027143</v>
      </c>
      <c r="C35" s="4">
        <v>4.6139999999999999</v>
      </c>
      <c r="D35" s="4">
        <v>3.7130000000000001</v>
      </c>
      <c r="E35" s="4">
        <v>0.64300000000000002</v>
      </c>
      <c r="F35" s="4">
        <v>3.9039999999999999</v>
      </c>
      <c r="H35" s="6">
        <v>-2618.81325553337</v>
      </c>
      <c r="I35" s="4">
        <f t="shared" si="0"/>
        <v>214.1486688894</v>
      </c>
      <c r="J35" s="4">
        <f t="shared" si="1"/>
        <v>-1827.2722330930001</v>
      </c>
      <c r="K35" s="4">
        <f t="shared" si="2"/>
        <v>1523.1555037999999</v>
      </c>
      <c r="L35" s="4">
        <f t="shared" si="3"/>
        <v>12615.799892479999</v>
      </c>
      <c r="M35" s="4">
        <f t="shared" si="4"/>
        <v>82.257717541536721</v>
      </c>
      <c r="N35" s="4">
        <f t="shared" si="5"/>
        <v>43.338496264147139</v>
      </c>
      <c r="O35" s="4">
        <f t="shared" si="6"/>
        <v>-204.20530207461599</v>
      </c>
      <c r="P35" s="4">
        <f t="shared" si="7"/>
        <v>-690.6652214058239</v>
      </c>
      <c r="Q35" s="4">
        <f t="shared" si="8"/>
        <v>-165.4496284483175</v>
      </c>
      <c r="R35" s="4">
        <f t="shared" si="9"/>
        <v>432.02642985497397</v>
      </c>
      <c r="S35" s="4">
        <f t="shared" si="10"/>
        <v>6133.1313532755839</v>
      </c>
      <c r="T35" s="4">
        <f t="shared" si="11"/>
        <v>-171.610576593974</v>
      </c>
      <c r="U35" s="4">
        <f t="shared" si="12"/>
        <v>-5161.1576642643204</v>
      </c>
      <c r="V35" s="4">
        <f t="shared" si="13"/>
        <v>-22659.080772403198</v>
      </c>
      <c r="W35" s="4">
        <f t="shared" si="14"/>
        <v>-3.5545534648490391</v>
      </c>
      <c r="X35" s="4">
        <f t="shared" si="15"/>
        <v>10.488480922998319</v>
      </c>
      <c r="Y35" s="4">
        <f t="shared" si="16"/>
        <v>8.1419402221424839</v>
      </c>
      <c r="Z35" s="4">
        <f t="shared" si="17"/>
        <v>-217.97612992106033</v>
      </c>
      <c r="AA35" s="4">
        <f t="shared" si="18"/>
        <v>14.779088290026285</v>
      </c>
      <c r="AB35" s="4">
        <f t="shared" si="19"/>
        <v>-118.70320638564132</v>
      </c>
      <c r="AC35" s="4">
        <f t="shared" si="20"/>
        <v>2.3212818868189382</v>
      </c>
      <c r="AD35" s="4">
        <f t="shared" si="21"/>
        <v>156.51938748297894</v>
      </c>
      <c r="AE35" s="4">
        <f t="shared" si="22"/>
        <v>230.58600649559506</v>
      </c>
      <c r="AF35" s="4">
        <f t="shared" si="23"/>
        <v>840.05379797120042</v>
      </c>
      <c r="AG35" s="4">
        <f t="shared" si="24"/>
        <v>-22.160488181627702</v>
      </c>
      <c r="AH35" s="4">
        <f t="shared" si="25"/>
        <v>140.07281265933167</v>
      </c>
      <c r="AI35" s="4">
        <f t="shared" si="26"/>
        <v>259.4357252466769</v>
      </c>
      <c r="AJ35" s="4">
        <f t="shared" si="27"/>
        <v>-22.569462184481047</v>
      </c>
      <c r="AK35" s="4">
        <f t="shared" si="28"/>
        <v>-1157.2507663014392</v>
      </c>
      <c r="AL35" s="4">
        <f t="shared" si="29"/>
        <v>-6599.1364905135142</v>
      </c>
      <c r="AM35" s="4">
        <f t="shared" si="30"/>
        <v>-80.02526089280191</v>
      </c>
      <c r="AN35" s="4">
        <f t="shared" si="31"/>
        <v>521.95950983006196</v>
      </c>
      <c r="AO35" s="4">
        <f t="shared" si="32"/>
        <v>5858.3504966826231</v>
      </c>
      <c r="AP35" s="4">
        <f t="shared" si="33"/>
        <v>17819.438483612106</v>
      </c>
      <c r="AQ35" s="4">
        <f t="shared" si="34"/>
        <v>3.344712020618134E-2</v>
      </c>
      <c r="AR35" s="4">
        <f t="shared" si="35"/>
        <v>-0.49986231375873735</v>
      </c>
      <c r="AS35" s="4">
        <f t="shared" si="36"/>
        <v>2.0722929172819163E-2</v>
      </c>
      <c r="AT35" s="4">
        <f t="shared" si="37"/>
        <v>5.0905253339468048</v>
      </c>
      <c r="AU35" s="4">
        <f t="shared" si="38"/>
        <v>1.1944190026618866</v>
      </c>
      <c r="AV35" s="4">
        <f t="shared" si="39"/>
        <v>-1.5232092472848707E-2</v>
      </c>
      <c r="AW35" s="4">
        <f t="shared" si="40"/>
        <v>-14.980572897357122</v>
      </c>
      <c r="AX35" s="4">
        <f t="shared" si="41"/>
        <v>-11.395314304669357</v>
      </c>
      <c r="AY35" s="4">
        <f t="shared" si="42"/>
        <v>21.086203898301051</v>
      </c>
      <c r="AZ35" s="4">
        <f t="shared" si="43"/>
        <v>122.79262488037868</v>
      </c>
      <c r="BA35" s="4">
        <f t="shared" si="44"/>
        <v>-0.20421153827971966</v>
      </c>
      <c r="BB35" s="4">
        <f t="shared" si="45"/>
        <v>-10.405210253685027</v>
      </c>
      <c r="BC35" s="4">
        <f t="shared" si="46"/>
        <v>-4.6876041894133529</v>
      </c>
      <c r="BD35" s="4">
        <f t="shared" si="47"/>
        <v>35.541079026373261</v>
      </c>
      <c r="BE35" s="4">
        <f t="shared" si="48"/>
        <v>81.037305534071024</v>
      </c>
      <c r="BF35" s="4">
        <f t="shared" si="49"/>
        <v>-46.189018512434913</v>
      </c>
      <c r="BG35" s="4">
        <f t="shared" si="50"/>
        <v>-11.769850420722483</v>
      </c>
      <c r="BH35" s="4">
        <f t="shared" si="51"/>
        <v>-160.62529271918035</v>
      </c>
      <c r="BI35" s="4">
        <f t="shared" si="52"/>
        <v>-16.716186892668944</v>
      </c>
      <c r="BJ35" s="4">
        <f t="shared" si="53"/>
        <v>-355.84469757579046</v>
      </c>
      <c r="BK35" s="4">
        <f t="shared" si="54"/>
        <v>0.11546446953354056</v>
      </c>
      <c r="BL35" s="4">
        <f t="shared" si="55"/>
        <v>7.1618501490422544</v>
      </c>
      <c r="BM35" s="4">
        <f t="shared" si="56"/>
        <v>13.381517115071937</v>
      </c>
      <c r="BN35" s="4">
        <f t="shared" si="57"/>
        <v>-16.373897755987439</v>
      </c>
      <c r="BO35" s="4">
        <f t="shared" si="58"/>
        <v>-136.00125455427286</v>
      </c>
      <c r="BP35" s="4">
        <f t="shared" si="59"/>
        <v>-71.011387437824098</v>
      </c>
      <c r="BQ35" s="4">
        <f t="shared" si="60"/>
        <v>-20.945391033749218</v>
      </c>
      <c r="BR35" s="4">
        <f t="shared" si="61"/>
        <v>96.12249840402076</v>
      </c>
      <c r="BS35" s="4">
        <f t="shared" si="62"/>
        <v>674.06250283910902</v>
      </c>
      <c r="BT35" s="4">
        <f t="shared" si="63"/>
        <v>2276.7510542967393</v>
      </c>
      <c r="BU35" s="4">
        <f t="shared" si="64"/>
        <v>7.9574343310954205</v>
      </c>
      <c r="BV35" s="4">
        <f t="shared" si="65"/>
        <v>104.38145719007666</v>
      </c>
      <c r="BW35" s="4">
        <f t="shared" si="66"/>
        <v>-453.39287861742338</v>
      </c>
      <c r="BX35" s="4">
        <f t="shared" si="67"/>
        <v>-2125.4605485585626</v>
      </c>
      <c r="BY35" s="4">
        <f t="shared" si="68"/>
        <v>-5176.865735476953</v>
      </c>
      <c r="BZ35" s="6">
        <f t="shared" si="69"/>
        <v>-0.27997887923720555</v>
      </c>
      <c r="CA35" s="7"/>
      <c r="CB35" s="6">
        <v>-0.27997960966013119</v>
      </c>
      <c r="CC35" s="6"/>
    </row>
    <row r="36" spans="1:81" x14ac:dyDescent="0.3">
      <c r="A36" s="4">
        <v>34</v>
      </c>
      <c r="B36" s="4">
        <v>44446339</v>
      </c>
      <c r="C36" s="4">
        <v>9.6389999999999993</v>
      </c>
      <c r="D36" s="4">
        <v>6.7380000000000004</v>
      </c>
      <c r="E36" s="4">
        <v>0.89900000000000002</v>
      </c>
      <c r="F36" s="4">
        <v>2.9929999999999999</v>
      </c>
      <c r="H36" s="6">
        <v>-2618.81325553337</v>
      </c>
      <c r="I36" s="4">
        <f t="shared" si="0"/>
        <v>447.37299944189999</v>
      </c>
      <c r="J36" s="4">
        <f t="shared" si="1"/>
        <v>-3315.9602226180004</v>
      </c>
      <c r="K36" s="4">
        <f t="shared" si="2"/>
        <v>2129.5751133999997</v>
      </c>
      <c r="L36" s="4">
        <f t="shared" si="3"/>
        <v>9671.8978171599992</v>
      </c>
      <c r="M36" s="4">
        <f t="shared" si="4"/>
        <v>358.99254908552319</v>
      </c>
      <c r="N36" s="4">
        <f t="shared" si="5"/>
        <v>164.29876003981312</v>
      </c>
      <c r="O36" s="4">
        <f t="shared" si="6"/>
        <v>-596.44461649978791</v>
      </c>
      <c r="P36" s="4">
        <f t="shared" si="7"/>
        <v>-1106.1623831574329</v>
      </c>
      <c r="Q36" s="4">
        <f t="shared" si="8"/>
        <v>-544.85119911663014</v>
      </c>
      <c r="R36" s="4">
        <f t="shared" si="9"/>
        <v>1096.1376433447322</v>
      </c>
      <c r="S36" s="4">
        <f t="shared" si="10"/>
        <v>8532.6755339640786</v>
      </c>
      <c r="T36" s="4">
        <f t="shared" si="11"/>
        <v>-335.46057582392604</v>
      </c>
      <c r="U36" s="4">
        <f t="shared" si="12"/>
        <v>-5532.1347867241702</v>
      </c>
      <c r="V36" s="4">
        <f t="shared" si="13"/>
        <v>-13317.910844787299</v>
      </c>
      <c r="W36" s="4">
        <f t="shared" si="14"/>
        <v>-32.407700842449643</v>
      </c>
      <c r="X36" s="4">
        <f t="shared" si="15"/>
        <v>83.066790407055805</v>
      </c>
      <c r="Y36" s="4">
        <f t="shared" si="16"/>
        <v>49.680437128787204</v>
      </c>
      <c r="Z36" s="4">
        <f t="shared" si="17"/>
        <v>-729.31412627603959</v>
      </c>
      <c r="AA36" s="4">
        <f t="shared" si="18"/>
        <v>101.67499238142885</v>
      </c>
      <c r="AB36" s="4">
        <f t="shared" si="19"/>
        <v>-629.17522992571924</v>
      </c>
      <c r="AC36" s="4">
        <f t="shared" si="20"/>
        <v>6.7466042867071687</v>
      </c>
      <c r="AD36" s="4">
        <f t="shared" si="21"/>
        <v>639.17527561755799</v>
      </c>
      <c r="AE36" s="4">
        <f t="shared" si="22"/>
        <v>516.33666412207924</v>
      </c>
      <c r="AF36" s="4">
        <f t="shared" si="23"/>
        <v>1031.4669225624366</v>
      </c>
      <c r="AG36" s="4">
        <f t="shared" si="24"/>
        <v>-132.43338984385201</v>
      </c>
      <c r="AH36" s="4">
        <f t="shared" si="25"/>
        <v>644.93312396548095</v>
      </c>
      <c r="AI36" s="4">
        <f t="shared" si="26"/>
        <v>654.99623328863345</v>
      </c>
      <c r="AJ36" s="4">
        <f t="shared" si="27"/>
        <v>-80.061681154402336</v>
      </c>
      <c r="AK36" s="4">
        <f t="shared" si="28"/>
        <v>-2251.0190019463653</v>
      </c>
      <c r="AL36" s="4">
        <f t="shared" si="29"/>
        <v>-7038.6113277443219</v>
      </c>
      <c r="AM36" s="4">
        <f t="shared" si="30"/>
        <v>-218.71232387594844</v>
      </c>
      <c r="AN36" s="4">
        <f t="shared" si="31"/>
        <v>782.22404204135989</v>
      </c>
      <c r="AO36" s="4">
        <f t="shared" si="32"/>
        <v>4814.1307994534891</v>
      </c>
      <c r="AP36" s="4">
        <f t="shared" si="33"/>
        <v>8029.4304048228132</v>
      </c>
      <c r="AQ36" s="4">
        <f t="shared" si="34"/>
        <v>0.63705406512515794</v>
      </c>
      <c r="AR36" s="4">
        <f t="shared" si="35"/>
        <v>-8.2702687540621991</v>
      </c>
      <c r="AS36" s="4">
        <f t="shared" si="36"/>
        <v>0.26415755229345383</v>
      </c>
      <c r="AT36" s="4">
        <f t="shared" si="37"/>
        <v>35.581371261707659</v>
      </c>
      <c r="AU36" s="4">
        <f t="shared" si="38"/>
        <v>17.166335620843888</v>
      </c>
      <c r="AV36" s="4">
        <f t="shared" si="39"/>
        <v>-0.16866428283221169</v>
      </c>
      <c r="AW36" s="4">
        <f t="shared" si="40"/>
        <v>-90.957846117671835</v>
      </c>
      <c r="AX36" s="4">
        <f t="shared" si="41"/>
        <v>-97.214831139704259</v>
      </c>
      <c r="AY36" s="4">
        <f t="shared" si="42"/>
        <v>98.639942073555744</v>
      </c>
      <c r="AZ36" s="4">
        <f t="shared" si="43"/>
        <v>314.97412565436071</v>
      </c>
      <c r="BA36" s="4">
        <f t="shared" si="44"/>
        <v>-2.5494872190198432</v>
      </c>
      <c r="BB36" s="4">
        <f t="shared" si="45"/>
        <v>-100.08432948753884</v>
      </c>
      <c r="BC36" s="4">
        <f t="shared" si="46"/>
        <v>-24.723750172069863</v>
      </c>
      <c r="BD36" s="4">
        <f t="shared" si="47"/>
        <v>263.38345719884359</v>
      </c>
      <c r="BE36" s="4">
        <f t="shared" si="48"/>
        <v>329.29949643691799</v>
      </c>
      <c r="BF36" s="4">
        <f t="shared" si="49"/>
        <v>-102.91839315998511</v>
      </c>
      <c r="BG36" s="4">
        <f t="shared" si="50"/>
        <v>-67.200343049809163</v>
      </c>
      <c r="BH36" s="4">
        <f t="shared" si="51"/>
        <v>-502.87803616328193</v>
      </c>
      <c r="BI36" s="4">
        <f t="shared" si="52"/>
        <v>-28.696844383121729</v>
      </c>
      <c r="BJ36" s="4">
        <f t="shared" si="53"/>
        <v>-334.96976797943751</v>
      </c>
      <c r="BK36" s="4">
        <f t="shared" si="54"/>
        <v>1.252196813651419</v>
      </c>
      <c r="BL36" s="4">
        <f t="shared" si="55"/>
        <v>59.840073856554376</v>
      </c>
      <c r="BM36" s="4">
        <f t="shared" si="56"/>
        <v>61.3084637722677</v>
      </c>
      <c r="BN36" s="4">
        <f t="shared" si="57"/>
        <v>-105.40510049094384</v>
      </c>
      <c r="BO36" s="4">
        <f t="shared" si="58"/>
        <v>-480.0656764549002</v>
      </c>
      <c r="BP36" s="4">
        <f t="shared" si="59"/>
        <v>-137.44657702026424</v>
      </c>
      <c r="BQ36" s="4">
        <f t="shared" si="60"/>
        <v>-103.88209190173365</v>
      </c>
      <c r="BR36" s="4">
        <f t="shared" si="61"/>
        <v>261.41195996890883</v>
      </c>
      <c r="BS36" s="4">
        <f t="shared" si="62"/>
        <v>1005.1913912917918</v>
      </c>
      <c r="BT36" s="4">
        <f t="shared" si="63"/>
        <v>1861.7112679537361</v>
      </c>
      <c r="BU36" s="4">
        <f t="shared" si="64"/>
        <v>30.406605427895744</v>
      </c>
      <c r="BV36" s="4">
        <f t="shared" si="65"/>
        <v>218.70888156340948</v>
      </c>
      <c r="BW36" s="4">
        <f t="shared" si="66"/>
        <v>-520.91390180010285</v>
      </c>
      <c r="BX36" s="4">
        <f t="shared" si="67"/>
        <v>-1339.0367321013232</v>
      </c>
      <c r="BY36" s="4">
        <f t="shared" si="68"/>
        <v>-1788.3582926240047</v>
      </c>
      <c r="BZ36" s="6">
        <f t="shared" si="69"/>
        <v>-0.62411314578503152</v>
      </c>
      <c r="CA36" s="7"/>
      <c r="CB36" s="6">
        <v>-0.62411931390442987</v>
      </c>
      <c r="CC36" s="6"/>
    </row>
    <row r="37" spans="1:81" x14ac:dyDescent="0.3">
      <c r="A37" s="4">
        <v>35</v>
      </c>
      <c r="B37" s="4">
        <v>44446335</v>
      </c>
      <c r="C37" s="4">
        <v>9.9770000000000003</v>
      </c>
      <c r="D37" s="4">
        <v>6.13</v>
      </c>
      <c r="E37" s="4">
        <v>0.86399999999999999</v>
      </c>
      <c r="F37" s="4">
        <v>2.9319999999999999</v>
      </c>
      <c r="H37" s="6">
        <v>-2618.81325553337</v>
      </c>
      <c r="I37" s="4">
        <f t="shared" si="0"/>
        <v>463.06052655170004</v>
      </c>
      <c r="J37" s="4">
        <f t="shared" si="1"/>
        <v>-3016.7462399300002</v>
      </c>
      <c r="K37" s="4">
        <f t="shared" si="2"/>
        <v>2046.6661823999998</v>
      </c>
      <c r="L37" s="4">
        <f t="shared" si="3"/>
        <v>9474.7759438399989</v>
      </c>
      <c r="M37" s="4">
        <f t="shared" si="4"/>
        <v>384.61075000517383</v>
      </c>
      <c r="N37" s="4">
        <f t="shared" si="5"/>
        <v>154.71475917706269</v>
      </c>
      <c r="O37" s="4">
        <f t="shared" si="6"/>
        <v>-593.32434121382403</v>
      </c>
      <c r="P37" s="4">
        <f t="shared" si="7"/>
        <v>-1121.6158208661559</v>
      </c>
      <c r="Q37" s="4">
        <f t="shared" si="8"/>
        <v>-450.95877988175005</v>
      </c>
      <c r="R37" s="4">
        <f t="shared" si="9"/>
        <v>958.40398556351988</v>
      </c>
      <c r="S37" s="4">
        <f t="shared" si="10"/>
        <v>7604.5224847897198</v>
      </c>
      <c r="T37" s="4">
        <f t="shared" si="11"/>
        <v>-309.84863667609596</v>
      </c>
      <c r="U37" s="4">
        <f t="shared" si="12"/>
        <v>-5208.39667202688</v>
      </c>
      <c r="V37" s="4">
        <f t="shared" si="13"/>
        <v>-12780.5811285648</v>
      </c>
      <c r="W37" s="4">
        <f t="shared" si="14"/>
        <v>-35.93785871950633</v>
      </c>
      <c r="X37" s="4">
        <f t="shared" si="15"/>
        <v>80.964172589943018</v>
      </c>
      <c r="Y37" s="4">
        <f t="shared" si="16"/>
        <v>51.153510476878807</v>
      </c>
      <c r="Z37" s="4">
        <f t="shared" si="17"/>
        <v>-765.43419260582903</v>
      </c>
      <c r="AA37" s="4">
        <f t="shared" si="18"/>
        <v>87.104597090447569</v>
      </c>
      <c r="AB37" s="4">
        <f t="shared" si="19"/>
        <v>-569.40742640363464</v>
      </c>
      <c r="AC37" s="4">
        <f t="shared" si="20"/>
        <v>6.223575276520867</v>
      </c>
      <c r="AD37" s="4">
        <f t="shared" si="21"/>
        <v>611.07717303010156</v>
      </c>
      <c r="AE37" s="4">
        <f t="shared" si="22"/>
        <v>503.16712289549679</v>
      </c>
      <c r="AF37" s="4">
        <f t="shared" si="23"/>
        <v>1024.5609415705326</v>
      </c>
      <c r="AG37" s="4">
        <f t="shared" si="24"/>
        <v>-99.720833373239898</v>
      </c>
      <c r="AH37" s="4">
        <f t="shared" si="25"/>
        <v>513.01217195944128</v>
      </c>
      <c r="AI37" s="4">
        <f t="shared" si="26"/>
        <v>531.07393561511003</v>
      </c>
      <c r="AJ37" s="4">
        <f t="shared" si="27"/>
        <v>-67.276327284301814</v>
      </c>
      <c r="AK37" s="4">
        <f t="shared" si="28"/>
        <v>-1928.0572657441228</v>
      </c>
      <c r="AL37" s="4">
        <f t="shared" si="29"/>
        <v>-6145.1282375600777</v>
      </c>
      <c r="AM37" s="4">
        <f t="shared" si="30"/>
        <v>-194.14911147717424</v>
      </c>
      <c r="AN37" s="4">
        <f t="shared" si="31"/>
        <v>707.77710600866601</v>
      </c>
      <c r="AO37" s="4">
        <f t="shared" si="32"/>
        <v>4440.0354216896294</v>
      </c>
      <c r="AP37" s="4">
        <f t="shared" si="33"/>
        <v>7548.4274553515406</v>
      </c>
      <c r="AQ37" s="4">
        <f t="shared" si="34"/>
        <v>0.73122033272929965</v>
      </c>
      <c r="AR37" s="4">
        <f t="shared" si="35"/>
        <v>-8.3435921438145488</v>
      </c>
      <c r="AS37" s="4">
        <f t="shared" si="36"/>
        <v>0.28152765205313168</v>
      </c>
      <c r="AT37" s="4">
        <f t="shared" si="37"/>
        <v>38.653062254254138</v>
      </c>
      <c r="AU37" s="4">
        <f t="shared" si="38"/>
        <v>15.222028083616548</v>
      </c>
      <c r="AV37" s="4">
        <f t="shared" si="39"/>
        <v>-0.15799473926300625</v>
      </c>
      <c r="AW37" s="4">
        <f t="shared" si="40"/>
        <v>-86.848609317376955</v>
      </c>
      <c r="AX37" s="4">
        <f t="shared" si="41"/>
        <v>-96.20034101236341</v>
      </c>
      <c r="AY37" s="4">
        <f t="shared" si="42"/>
        <v>99.494733324365313</v>
      </c>
      <c r="AZ37" s="4">
        <f t="shared" si="43"/>
        <v>323.83617501227366</v>
      </c>
      <c r="BA37" s="4">
        <f t="shared" si="44"/>
        <v>-1.9870520100472093</v>
      </c>
      <c r="BB37" s="4">
        <f t="shared" si="45"/>
        <v>-82.403766422327024</v>
      </c>
      <c r="BC37" s="4">
        <f t="shared" si="46"/>
        <v>-20.749064623686266</v>
      </c>
      <c r="BD37" s="4">
        <f t="shared" si="47"/>
        <v>229.08362950480029</v>
      </c>
      <c r="BE37" s="4">
        <f t="shared" si="48"/>
        <v>291.94418296550202</v>
      </c>
      <c r="BF37" s="4">
        <f t="shared" si="49"/>
        <v>-93.004712617692817</v>
      </c>
      <c r="BG37" s="4">
        <f t="shared" si="50"/>
        <v>-61.74497715318153</v>
      </c>
      <c r="BH37" s="4">
        <f t="shared" si="51"/>
        <v>-470.97299965984519</v>
      </c>
      <c r="BI37" s="4">
        <f t="shared" si="52"/>
        <v>-27.39496081674335</v>
      </c>
      <c r="BJ37" s="4">
        <f t="shared" si="53"/>
        <v>-325.94577184827995</v>
      </c>
      <c r="BK37" s="4">
        <f t="shared" si="54"/>
        <v>0.85780873800692847</v>
      </c>
      <c r="BL37" s="4">
        <f t="shared" si="55"/>
        <v>43.304654225680309</v>
      </c>
      <c r="BM37" s="4">
        <f t="shared" si="56"/>
        <v>45.22369950601788</v>
      </c>
      <c r="BN37" s="4">
        <f t="shared" si="57"/>
        <v>-80.580259912844241</v>
      </c>
      <c r="BO37" s="4">
        <f t="shared" si="58"/>
        <v>-374.08551458582718</v>
      </c>
      <c r="BP37" s="4">
        <f t="shared" si="59"/>
        <v>-109.17101864712997</v>
      </c>
      <c r="BQ37" s="4">
        <f t="shared" si="60"/>
        <v>-83.894271399142966</v>
      </c>
      <c r="BR37" s="4">
        <f t="shared" si="61"/>
        <v>215.18910128985297</v>
      </c>
      <c r="BS37" s="4">
        <f t="shared" si="62"/>
        <v>843.42559736731891</v>
      </c>
      <c r="BT37" s="4">
        <f t="shared" si="63"/>
        <v>1592.2583775516773</v>
      </c>
      <c r="BU37" s="4">
        <f t="shared" si="64"/>
        <v>25.940846359828281</v>
      </c>
      <c r="BV37" s="4">
        <f t="shared" si="65"/>
        <v>190.18918660302171</v>
      </c>
      <c r="BW37" s="4">
        <f t="shared" si="66"/>
        <v>-461.73048331508676</v>
      </c>
      <c r="BX37" s="4">
        <f t="shared" si="67"/>
        <v>-1209.8131166307339</v>
      </c>
      <c r="BY37" s="4">
        <f t="shared" si="68"/>
        <v>-1646.9618122276952</v>
      </c>
      <c r="BZ37" s="6">
        <f t="shared" si="69"/>
        <v>-0.41880029135973018</v>
      </c>
      <c r="CA37" s="7"/>
      <c r="CB37" s="6">
        <v>-0.41880505948074642</v>
      </c>
      <c r="CC37" s="6"/>
    </row>
    <row r="38" spans="1:81" x14ac:dyDescent="0.3">
      <c r="A38" s="4">
        <v>36</v>
      </c>
      <c r="B38" s="4">
        <v>44457057</v>
      </c>
      <c r="C38" s="4">
        <v>4.2729999999999997</v>
      </c>
      <c r="D38" s="4">
        <v>3.472</v>
      </c>
      <c r="E38" s="4">
        <v>0.46899999999999997</v>
      </c>
      <c r="F38" s="4">
        <v>3.484</v>
      </c>
      <c r="H38" s="6">
        <v>-2618.81325553337</v>
      </c>
      <c r="I38" s="4">
        <f t="shared" si="0"/>
        <v>198.32190337329999</v>
      </c>
      <c r="J38" s="4">
        <f t="shared" si="1"/>
        <v>-1708.669322192</v>
      </c>
      <c r="K38" s="4">
        <f t="shared" si="2"/>
        <v>1110.9796753999999</v>
      </c>
      <c r="L38" s="4">
        <f t="shared" si="3"/>
        <v>11258.56732208</v>
      </c>
      <c r="M38" s="4">
        <f t="shared" si="4"/>
        <v>70.548414833933762</v>
      </c>
      <c r="N38" s="4">
        <f t="shared" si="5"/>
        <v>37.530461795009117</v>
      </c>
      <c r="O38" s="4">
        <f t="shared" si="6"/>
        <v>-137.93808314599599</v>
      </c>
      <c r="P38" s="4">
        <f t="shared" si="7"/>
        <v>-570.80954608022796</v>
      </c>
      <c r="Q38" s="4">
        <f t="shared" si="8"/>
        <v>-144.66895045568</v>
      </c>
      <c r="R38" s="4">
        <f t="shared" si="9"/>
        <v>294.66391403164795</v>
      </c>
      <c r="S38" s="4">
        <f t="shared" si="10"/>
        <v>5118.0599739884165</v>
      </c>
      <c r="T38" s="4">
        <f t="shared" si="11"/>
        <v>-91.299371961685978</v>
      </c>
      <c r="U38" s="4">
        <f t="shared" si="12"/>
        <v>-3359.5207924787601</v>
      </c>
      <c r="V38" s="4">
        <f t="shared" si="13"/>
        <v>-18045.9172772112</v>
      </c>
      <c r="W38" s="4">
        <f t="shared" si="14"/>
        <v>-2.8232605444006178</v>
      </c>
      <c r="X38" s="4">
        <f t="shared" si="15"/>
        <v>8.4115874653549021</v>
      </c>
      <c r="Y38" s="4">
        <f t="shared" si="16"/>
        <v>5.0933132203072757</v>
      </c>
      <c r="Z38" s="4">
        <f t="shared" si="17"/>
        <v>-166.83527448248029</v>
      </c>
      <c r="AA38" s="4">
        <f t="shared" si="18"/>
        <v>11.967749238536305</v>
      </c>
      <c r="AB38" s="4">
        <f t="shared" si="19"/>
        <v>-74.978092921532465</v>
      </c>
      <c r="AC38" s="4">
        <f t="shared" si="20"/>
        <v>1.7939332928282601</v>
      </c>
      <c r="AD38" s="4">
        <f t="shared" si="21"/>
        <v>77.116477162764895</v>
      </c>
      <c r="AE38" s="4">
        <f t="shared" si="22"/>
        <v>139.0011705797242</v>
      </c>
      <c r="AF38" s="4">
        <f t="shared" si="23"/>
        <v>619.58240623491406</v>
      </c>
      <c r="AG38" s="4">
        <f t="shared" si="24"/>
        <v>-18.119392187259567</v>
      </c>
      <c r="AH38" s="4">
        <f t="shared" si="25"/>
        <v>89.335742990028237</v>
      </c>
      <c r="AI38" s="4">
        <f t="shared" si="26"/>
        <v>202.44527814838511</v>
      </c>
      <c r="AJ38" s="4">
        <f t="shared" si="27"/>
        <v>-11.227930535817046</v>
      </c>
      <c r="AK38" s="4">
        <f t="shared" si="28"/>
        <v>-704.38881542472939</v>
      </c>
      <c r="AL38" s="4">
        <f t="shared" si="29"/>
        <v>-4914.4911006325156</v>
      </c>
      <c r="AM38" s="4">
        <f t="shared" si="30"/>
        <v>-31.053653875872282</v>
      </c>
      <c r="AN38" s="4">
        <f t="shared" si="31"/>
        <v>247.81574253039634</v>
      </c>
      <c r="AO38" s="4">
        <f t="shared" si="32"/>
        <v>3403.0936121192017</v>
      </c>
      <c r="AP38" s="4">
        <f t="shared" si="33"/>
        <v>12664.820144995447</v>
      </c>
      <c r="AQ38" s="4">
        <f t="shared" si="34"/>
        <v>2.4602539714064724E-2</v>
      </c>
      <c r="AR38" s="4">
        <f t="shared" si="35"/>
        <v>-0.37125393907061555</v>
      </c>
      <c r="AS38" s="4">
        <f t="shared" si="36"/>
        <v>1.2005463185971961E-2</v>
      </c>
      <c r="AT38" s="4">
        <f t="shared" si="37"/>
        <v>3.6082518949396505</v>
      </c>
      <c r="AU38" s="4">
        <f t="shared" si="38"/>
        <v>0.89572943089389456</v>
      </c>
      <c r="AV38" s="4">
        <f t="shared" si="39"/>
        <v>-8.9101868191707213E-3</v>
      </c>
      <c r="AW38" s="4">
        <f t="shared" si="40"/>
        <v>-10.721662497820734</v>
      </c>
      <c r="AX38" s="4">
        <f t="shared" si="41"/>
        <v>-5.199488873704663</v>
      </c>
      <c r="AY38" s="4">
        <f t="shared" si="42"/>
        <v>11.771700771901285</v>
      </c>
      <c r="AZ38" s="4">
        <f t="shared" si="43"/>
        <v>83.872495139024622</v>
      </c>
      <c r="BA38" s="4">
        <f t="shared" si="44"/>
        <v>-0.15463218094234324</v>
      </c>
      <c r="BB38" s="4">
        <f t="shared" si="45"/>
        <v>-6.1457878882621717</v>
      </c>
      <c r="BC38" s="4">
        <f t="shared" si="46"/>
        <v>-3.3875374743399802</v>
      </c>
      <c r="BD38" s="4">
        <f t="shared" si="47"/>
        <v>16.374363165295396</v>
      </c>
      <c r="BE38" s="4">
        <f t="shared" si="48"/>
        <v>45.679913144544997</v>
      </c>
      <c r="BF38" s="4">
        <f t="shared" si="49"/>
        <v>-31.855577189850333</v>
      </c>
      <c r="BG38" s="4">
        <f t="shared" si="50"/>
        <v>-4.2297223060191573</v>
      </c>
      <c r="BH38" s="4">
        <f t="shared" si="51"/>
        <v>-70.625463606939093</v>
      </c>
      <c r="BI38" s="4">
        <f t="shared" si="52"/>
        <v>-8.9927198729035958</v>
      </c>
      <c r="BJ38" s="4">
        <f t="shared" si="53"/>
        <v>-234.21829406962189</v>
      </c>
      <c r="BK38" s="4">
        <f t="shared" si="54"/>
        <v>8.8281038582705376E-2</v>
      </c>
      <c r="BL38" s="4">
        <f t="shared" si="55"/>
        <v>4.2712146891577438</v>
      </c>
      <c r="BM38" s="4">
        <f t="shared" si="56"/>
        <v>9.7642298254631665</v>
      </c>
      <c r="BN38" s="4">
        <f t="shared" si="57"/>
        <v>-7.6170244268232263</v>
      </c>
      <c r="BO38" s="4">
        <f t="shared" si="58"/>
        <v>-77.407431346204547</v>
      </c>
      <c r="BP38" s="4">
        <f t="shared" si="59"/>
        <v>-49.450900821321554</v>
      </c>
      <c r="BQ38" s="4">
        <f t="shared" si="60"/>
        <v>-7.6002669981067701</v>
      </c>
      <c r="BR38" s="4">
        <f t="shared" si="61"/>
        <v>42.674839322997713</v>
      </c>
      <c r="BS38" s="4">
        <f t="shared" si="62"/>
        <v>366.14531403458744</v>
      </c>
      <c r="BT38" s="4">
        <f t="shared" si="63"/>
        <v>1513.126807803874</v>
      </c>
      <c r="BU38" s="4">
        <f t="shared" si="64"/>
        <v>2.2522704684758077</v>
      </c>
      <c r="BV38" s="4">
        <f t="shared" si="65"/>
        <v>36.147419741680423</v>
      </c>
      <c r="BW38" s="4">
        <f t="shared" si="66"/>
        <v>-192.10342533669856</v>
      </c>
      <c r="BX38" s="4">
        <f t="shared" si="67"/>
        <v>-1101.8435407988229</v>
      </c>
      <c r="BY38" s="4">
        <f t="shared" si="68"/>
        <v>-3283.5244223696304</v>
      </c>
      <c r="BZ38" s="6">
        <f t="shared" si="69"/>
        <v>-1.1539198929135637</v>
      </c>
      <c r="CA38" s="7"/>
      <c r="CB38" s="6">
        <v>-1.1539178505477139</v>
      </c>
      <c r="CC38" s="6"/>
    </row>
    <row r="39" spans="1:81" x14ac:dyDescent="0.3">
      <c r="A39" s="4">
        <v>37</v>
      </c>
      <c r="B39" s="4">
        <v>155529509</v>
      </c>
      <c r="C39" s="4">
        <v>5.2469999999999999</v>
      </c>
      <c r="D39" s="4">
        <v>3.488</v>
      </c>
      <c r="E39" s="4">
        <v>0.65700000000000003</v>
      </c>
      <c r="F39" s="4">
        <v>3.5209999999999999</v>
      </c>
      <c r="H39" s="6">
        <v>-2618.81325553337</v>
      </c>
      <c r="I39" s="4">
        <f t="shared" si="0"/>
        <v>243.52797261870001</v>
      </c>
      <c r="J39" s="4">
        <f t="shared" si="1"/>
        <v>-1716.5433743680001</v>
      </c>
      <c r="K39" s="4">
        <f t="shared" si="2"/>
        <v>1556.3190761999999</v>
      </c>
      <c r="L39" s="4">
        <f t="shared" si="3"/>
        <v>11378.13304852</v>
      </c>
      <c r="M39" s="4">
        <f t="shared" si="4"/>
        <v>106.37598701016738</v>
      </c>
      <c r="N39" s="4">
        <f t="shared" si="5"/>
        <v>46.297638480582712</v>
      </c>
      <c r="O39" s="4">
        <f t="shared" si="6"/>
        <v>-237.276585876132</v>
      </c>
      <c r="P39" s="4">
        <f t="shared" si="7"/>
        <v>-708.36529832907297</v>
      </c>
      <c r="Q39" s="4">
        <f t="shared" si="8"/>
        <v>-146.00537708287999</v>
      </c>
      <c r="R39" s="4">
        <f t="shared" si="9"/>
        <v>414.68300778297601</v>
      </c>
      <c r="S39" s="4">
        <f t="shared" si="10"/>
        <v>5196.2496610100161</v>
      </c>
      <c r="T39" s="4">
        <f t="shared" si="11"/>
        <v>-179.16486380717402</v>
      </c>
      <c r="U39" s="4">
        <f t="shared" si="12"/>
        <v>-4756.1740485770706</v>
      </c>
      <c r="V39" s="4">
        <f t="shared" si="13"/>
        <v>-18431.247020585699</v>
      </c>
      <c r="W39" s="4">
        <f t="shared" si="14"/>
        <v>-5.2273968638375949</v>
      </c>
      <c r="X39" s="4">
        <f t="shared" si="15"/>
        <v>12.741808324417384</v>
      </c>
      <c r="Y39" s="4">
        <f t="shared" si="16"/>
        <v>10.758438811014333</v>
      </c>
      <c r="Z39" s="4">
        <f t="shared" si="17"/>
        <v>-254.23310504335527</v>
      </c>
      <c r="AA39" s="4">
        <f t="shared" si="18"/>
        <v>14.831469113881862</v>
      </c>
      <c r="AB39" s="4">
        <f t="shared" si="19"/>
        <v>-129.56922105053889</v>
      </c>
      <c r="AC39" s="4">
        <f t="shared" si="20"/>
        <v>2.2365010154689351</v>
      </c>
      <c r="AD39" s="4">
        <f t="shared" si="21"/>
        <v>185.82768088381903</v>
      </c>
      <c r="AE39" s="4">
        <f t="shared" si="22"/>
        <v>241.64456668278896</v>
      </c>
      <c r="AF39" s="4">
        <f t="shared" si="23"/>
        <v>777.05723034859909</v>
      </c>
      <c r="AG39" s="4">
        <f t="shared" si="24"/>
        <v>-18.371046840999739</v>
      </c>
      <c r="AH39" s="4">
        <f t="shared" si="25"/>
        <v>126.30231187029872</v>
      </c>
      <c r="AI39" s="4">
        <f t="shared" si="26"/>
        <v>206.48525765294656</v>
      </c>
      <c r="AJ39" s="4">
        <f t="shared" si="27"/>
        <v>-22.135102151694106</v>
      </c>
      <c r="AK39" s="4">
        <f t="shared" si="28"/>
        <v>-1001.8198136791191</v>
      </c>
      <c r="AL39" s="4">
        <f t="shared" si="29"/>
        <v>-5042.5599503957446</v>
      </c>
      <c r="AM39" s="4">
        <f t="shared" si="30"/>
        <v>-85.367052883024883</v>
      </c>
      <c r="AN39" s="4">
        <f t="shared" si="31"/>
        <v>491.47544430399824</v>
      </c>
      <c r="AO39" s="4">
        <f t="shared" si="32"/>
        <v>4869.026969696225</v>
      </c>
      <c r="AP39" s="4">
        <f t="shared" si="33"/>
        <v>13072.620775722335</v>
      </c>
      <c r="AQ39" s="4">
        <f t="shared" si="34"/>
        <v>5.593615718911836E-2</v>
      </c>
      <c r="AR39" s="4">
        <f t="shared" si="35"/>
        <v>-0.69056147165316639</v>
      </c>
      <c r="AS39" s="4">
        <f t="shared" si="36"/>
        <v>3.113909319909914E-2</v>
      </c>
      <c r="AT39" s="4">
        <f t="shared" si="37"/>
        <v>6.7517949006567806</v>
      </c>
      <c r="AU39" s="4">
        <f t="shared" si="38"/>
        <v>1.363096825246366</v>
      </c>
      <c r="AV39" s="4">
        <f t="shared" si="39"/>
        <v>-1.8907427305461449E-2</v>
      </c>
      <c r="AW39" s="4">
        <f t="shared" si="40"/>
        <v>-16.413572333540674</v>
      </c>
      <c r="AX39" s="4">
        <f t="shared" si="41"/>
        <v>-15.385161152964313</v>
      </c>
      <c r="AY39" s="4">
        <f t="shared" si="42"/>
        <v>25.129043750580983</v>
      </c>
      <c r="AZ39" s="4">
        <f t="shared" si="43"/>
        <v>129.16702690744683</v>
      </c>
      <c r="BA39" s="4">
        <f t="shared" si="44"/>
        <v>-0.19251666596857742</v>
      </c>
      <c r="BB39" s="4">
        <f t="shared" si="45"/>
        <v>-10.669443917745848</v>
      </c>
      <c r="BC39" s="4">
        <f t="shared" si="46"/>
        <v>-4.2427132260973748</v>
      </c>
      <c r="BD39" s="4">
        <f t="shared" si="47"/>
        <v>39.63915639058655</v>
      </c>
      <c r="BE39" s="4">
        <f t="shared" si="48"/>
        <v>79.777533718553187</v>
      </c>
      <c r="BF39" s="4">
        <f t="shared" si="49"/>
        <v>-40.136192138107063</v>
      </c>
      <c r="BG39" s="4">
        <f t="shared" si="50"/>
        <v>-14.278007557138853</v>
      </c>
      <c r="BH39" s="4">
        <f t="shared" si="51"/>
        <v>-171.99365095728487</v>
      </c>
      <c r="BI39" s="4">
        <f t="shared" si="52"/>
        <v>-15.799288184960163</v>
      </c>
      <c r="BJ39" s="4">
        <f t="shared" si="53"/>
        <v>-296.8674766701248</v>
      </c>
      <c r="BK39" s="4">
        <f t="shared" si="54"/>
        <v>8.9919622050103384E-2</v>
      </c>
      <c r="BL39" s="4">
        <f t="shared" si="55"/>
        <v>6.0664442041666318</v>
      </c>
      <c r="BM39" s="4">
        <f t="shared" si="56"/>
        <v>10.00497830108656</v>
      </c>
      <c r="BN39" s="4">
        <f t="shared" si="57"/>
        <v>-15.085646319067104</v>
      </c>
      <c r="BO39" s="4">
        <f t="shared" si="58"/>
        <v>-110.60037038251026</v>
      </c>
      <c r="BP39" s="4">
        <f t="shared" si="59"/>
        <v>-50.973386111997556</v>
      </c>
      <c r="BQ39" s="4">
        <f t="shared" si="60"/>
        <v>-20.989552991982904</v>
      </c>
      <c r="BR39" s="4">
        <f t="shared" si="61"/>
        <v>85.024010583116535</v>
      </c>
      <c r="BS39" s="4">
        <f t="shared" si="62"/>
        <v>526.28200967806242</v>
      </c>
      <c r="BT39" s="4">
        <f t="shared" si="63"/>
        <v>1569.0461645874664</v>
      </c>
      <c r="BU39" s="4">
        <f t="shared" si="64"/>
        <v>8.6734254468561875</v>
      </c>
      <c r="BV39" s="4">
        <f t="shared" si="65"/>
        <v>100.42521296843886</v>
      </c>
      <c r="BW39" s="4">
        <f t="shared" si="66"/>
        <v>-385.03119734347666</v>
      </c>
      <c r="BX39" s="4">
        <f t="shared" si="67"/>
        <v>-1593.2212604644524</v>
      </c>
      <c r="BY39" s="4">
        <f t="shared" si="68"/>
        <v>-3425.2459839254743</v>
      </c>
      <c r="BZ39" s="6">
        <f t="shared" si="69"/>
        <v>-0.58566312663197095</v>
      </c>
      <c r="CA39" s="7"/>
      <c r="CB39" s="6">
        <v>-0.58566235475518624</v>
      </c>
      <c r="CC39" s="6"/>
    </row>
    <row r="40" spans="1:81" x14ac:dyDescent="0.3">
      <c r="A40" s="4">
        <v>38</v>
      </c>
      <c r="B40" s="4">
        <v>2162</v>
      </c>
      <c r="C40" s="4">
        <v>5.157</v>
      </c>
      <c r="D40" s="4">
        <v>4.6150000000000002</v>
      </c>
      <c r="E40" s="4">
        <v>0.45200000000000001</v>
      </c>
      <c r="F40" s="4">
        <v>3.5139999999999998</v>
      </c>
      <c r="H40" s="6">
        <v>-2618.81325553337</v>
      </c>
      <c r="I40" s="4">
        <f t="shared" si="0"/>
        <v>239.35082042970001</v>
      </c>
      <c r="J40" s="4">
        <f t="shared" si="1"/>
        <v>-2271.1719245150002</v>
      </c>
      <c r="K40" s="4">
        <f t="shared" si="2"/>
        <v>1070.7096231999999</v>
      </c>
      <c r="L40" s="4">
        <f t="shared" si="3"/>
        <v>11355.512505679999</v>
      </c>
      <c r="M40" s="4">
        <f t="shared" si="4"/>
        <v>102.75802229275219</v>
      </c>
      <c r="N40" s="4">
        <f t="shared" si="5"/>
        <v>60.206050103594848</v>
      </c>
      <c r="O40" s="4">
        <f t="shared" si="6"/>
        <v>-160.440503864112</v>
      </c>
      <c r="P40" s="4">
        <f t="shared" si="7"/>
        <v>-694.83082500934199</v>
      </c>
      <c r="Q40" s="4">
        <f t="shared" si="8"/>
        <v>-255.59909305043752</v>
      </c>
      <c r="R40" s="4">
        <f t="shared" si="9"/>
        <v>377.47181926427999</v>
      </c>
      <c r="S40" s="4">
        <f t="shared" si="10"/>
        <v>6861.5300611193707</v>
      </c>
      <c r="T40" s="4">
        <f t="shared" si="11"/>
        <v>-84.800609604704007</v>
      </c>
      <c r="U40" s="4">
        <f t="shared" si="12"/>
        <v>-3265.6266853016805</v>
      </c>
      <c r="V40" s="4">
        <f t="shared" si="13"/>
        <v>-18358.034592349195</v>
      </c>
      <c r="W40" s="4">
        <f t="shared" si="14"/>
        <v>-4.962993136547869</v>
      </c>
      <c r="X40" s="4">
        <f t="shared" si="15"/>
        <v>16.285400040594862</v>
      </c>
      <c r="Y40" s="4">
        <f t="shared" si="16"/>
        <v>7.1498092238415092</v>
      </c>
      <c r="Z40" s="4">
        <f t="shared" si="17"/>
        <v>-245.09811330921443</v>
      </c>
      <c r="AA40" s="4">
        <f t="shared" si="18"/>
        <v>25.518826377345484</v>
      </c>
      <c r="AB40" s="4">
        <f t="shared" si="19"/>
        <v>-115.91942265330455</v>
      </c>
      <c r="AC40" s="4">
        <f t="shared" si="20"/>
        <v>2.9025928966053014</v>
      </c>
      <c r="AD40" s="4">
        <f t="shared" si="21"/>
        <v>86.445542611576144</v>
      </c>
      <c r="AE40" s="4">
        <f t="shared" si="22"/>
        <v>163.06918442805397</v>
      </c>
      <c r="AF40" s="4">
        <f t="shared" si="23"/>
        <v>760.69495713291735</v>
      </c>
      <c r="AG40" s="4">
        <f t="shared" si="24"/>
        <v>-42.551962228005308</v>
      </c>
      <c r="AH40" s="4">
        <f t="shared" si="25"/>
        <v>152.11597433243668</v>
      </c>
      <c r="AI40" s="4">
        <f t="shared" si="26"/>
        <v>360.75739332075148</v>
      </c>
      <c r="AJ40" s="4">
        <f t="shared" si="27"/>
        <v>-13.861904106077251</v>
      </c>
      <c r="AK40" s="4">
        <f t="shared" si="28"/>
        <v>-910.10949063680459</v>
      </c>
      <c r="AL40" s="4">
        <f t="shared" si="29"/>
        <v>-6645.3485309166663</v>
      </c>
      <c r="AM40" s="4">
        <f t="shared" si="30"/>
        <v>-27.797739731688704</v>
      </c>
      <c r="AN40" s="4">
        <f t="shared" si="31"/>
        <v>232.15801753994054</v>
      </c>
      <c r="AO40" s="4">
        <f t="shared" si="32"/>
        <v>3336.4660460068817</v>
      </c>
      <c r="AP40" s="4">
        <f t="shared" si="33"/>
        <v>12994.807761649537</v>
      </c>
      <c r="AQ40" s="4">
        <f t="shared" si="34"/>
        <v>5.2195960751037558E-2</v>
      </c>
      <c r="AR40" s="4">
        <f t="shared" si="35"/>
        <v>-0.86747261771515016</v>
      </c>
      <c r="AS40" s="4">
        <f t="shared" si="36"/>
        <v>2.0339357422160361E-2</v>
      </c>
      <c r="AT40" s="4">
        <f t="shared" si="37"/>
        <v>6.3975424307767623</v>
      </c>
      <c r="AU40" s="4">
        <f t="shared" si="38"/>
        <v>2.3050974957691817</v>
      </c>
      <c r="AV40" s="4">
        <f t="shared" si="39"/>
        <v>-1.6625429286928312E-2</v>
      </c>
      <c r="AW40" s="4">
        <f t="shared" si="40"/>
        <v>-20.936602565336706</v>
      </c>
      <c r="AX40" s="4">
        <f t="shared" si="41"/>
        <v>-7.0342907407260959</v>
      </c>
      <c r="AY40" s="4">
        <f t="shared" si="42"/>
        <v>16.666979230160162</v>
      </c>
      <c r="AZ40" s="4">
        <f t="shared" si="43"/>
        <v>124.2782879889123</v>
      </c>
      <c r="BA40" s="4">
        <f t="shared" si="44"/>
        <v>-0.43826832744058591</v>
      </c>
      <c r="BB40" s="4">
        <f t="shared" si="45"/>
        <v>-12.629651753974715</v>
      </c>
      <c r="BC40" s="4">
        <f t="shared" si="46"/>
        <v>-7.2854425081873009</v>
      </c>
      <c r="BD40" s="4">
        <f t="shared" si="47"/>
        <v>24.397865340614018</v>
      </c>
      <c r="BE40" s="4">
        <f t="shared" si="48"/>
        <v>71.231272014674104</v>
      </c>
      <c r="BF40" s="4">
        <f t="shared" si="49"/>
        <v>-51.986302259958997</v>
      </c>
      <c r="BG40" s="4">
        <f t="shared" si="50"/>
        <v>-4.5695440732349448</v>
      </c>
      <c r="BH40" s="4">
        <f t="shared" si="51"/>
        <v>-79.85099741925211</v>
      </c>
      <c r="BI40" s="4">
        <f t="shared" si="52"/>
        <v>-10.640649000374671</v>
      </c>
      <c r="BJ40" s="4">
        <f t="shared" si="53"/>
        <v>-290.03865635275366</v>
      </c>
      <c r="BK40" s="4">
        <f t="shared" si="54"/>
        <v>0.27557219100670366</v>
      </c>
      <c r="BL40" s="4">
        <f t="shared" si="55"/>
        <v>9.6670276349844073</v>
      </c>
      <c r="BM40" s="4">
        <f t="shared" si="56"/>
        <v>23.127972936291613</v>
      </c>
      <c r="BN40" s="4">
        <f t="shared" si="57"/>
        <v>-12.49972649105457</v>
      </c>
      <c r="BO40" s="4">
        <f t="shared" si="58"/>
        <v>-132.94004972917506</v>
      </c>
      <c r="BP40" s="4">
        <f t="shared" si="59"/>
        <v>-88.880278483296323</v>
      </c>
      <c r="BQ40" s="4">
        <f t="shared" si="60"/>
        <v>-9.0431058540099887</v>
      </c>
      <c r="BR40" s="4">
        <f t="shared" si="61"/>
        <v>53.139648634866404</v>
      </c>
      <c r="BS40" s="4">
        <f t="shared" si="62"/>
        <v>477.15368586188055</v>
      </c>
      <c r="BT40" s="4">
        <f t="shared" si="63"/>
        <v>2063.6600032415513</v>
      </c>
      <c r="BU40" s="4">
        <f t="shared" si="64"/>
        <v>1.9430452329233066</v>
      </c>
      <c r="BV40" s="4">
        <f t="shared" si="65"/>
        <v>32.636057471489501</v>
      </c>
      <c r="BW40" s="4">
        <f t="shared" si="66"/>
        <v>-181.51541567471565</v>
      </c>
      <c r="BX40" s="4">
        <f t="shared" si="67"/>
        <v>-1089.5730550168205</v>
      </c>
      <c r="BY40" s="4">
        <f t="shared" si="68"/>
        <v>-3398.0885679096286</v>
      </c>
      <c r="BZ40" s="6">
        <f t="shared" si="69"/>
        <v>-0.93934747883849923</v>
      </c>
      <c r="CA40" s="7"/>
      <c r="CB40" s="6">
        <v>-0.93934711347719713</v>
      </c>
      <c r="CC40" s="6"/>
    </row>
    <row r="41" spans="1:81" x14ac:dyDescent="0.3">
      <c r="A41" s="4">
        <v>39</v>
      </c>
      <c r="B41" s="4">
        <v>9574976</v>
      </c>
      <c r="C41" s="4">
        <v>3.4849999999999999</v>
      </c>
      <c r="D41" s="4">
        <v>12.433999999999999</v>
      </c>
      <c r="E41" s="4">
        <v>0.94699999999999995</v>
      </c>
      <c r="F41" s="4">
        <v>3.4449999999999998</v>
      </c>
      <c r="H41" s="6">
        <v>-2618.81325553337</v>
      </c>
      <c r="I41" s="4">
        <f t="shared" si="0"/>
        <v>161.74861531849999</v>
      </c>
      <c r="J41" s="4">
        <f t="shared" si="1"/>
        <v>-6119.1227972739998</v>
      </c>
      <c r="K41" s="4">
        <f t="shared" si="2"/>
        <v>2243.2787901999995</v>
      </c>
      <c r="L41" s="4">
        <f t="shared" si="3"/>
        <v>11132.538583399999</v>
      </c>
      <c r="M41" s="4">
        <f t="shared" si="4"/>
        <v>46.927459027584504</v>
      </c>
      <c r="N41" s="4">
        <f t="shared" si="5"/>
        <v>109.61877497514229</v>
      </c>
      <c r="O41" s="4">
        <f t="shared" si="6"/>
        <v>-227.15966128185997</v>
      </c>
      <c r="P41" s="4">
        <f t="shared" si="7"/>
        <v>-460.33309294017494</v>
      </c>
      <c r="Q41" s="4">
        <f t="shared" si="8"/>
        <v>-1855.40030567087</v>
      </c>
      <c r="R41" s="4">
        <f t="shared" si="9"/>
        <v>2130.7634382368274</v>
      </c>
      <c r="S41" s="4">
        <f t="shared" si="10"/>
        <v>18123.730564012709</v>
      </c>
      <c r="T41" s="4">
        <f t="shared" si="11"/>
        <v>-372.23916271333394</v>
      </c>
      <c r="U41" s="4">
        <f t="shared" si="12"/>
        <v>-6707.5751875736496</v>
      </c>
      <c r="V41" s="4">
        <f t="shared" si="13"/>
        <v>-17644.165471042499</v>
      </c>
      <c r="W41" s="4">
        <f t="shared" si="14"/>
        <v>-1.5316538527536467</v>
      </c>
      <c r="X41" s="4">
        <f t="shared" si="15"/>
        <v>20.037747096841386</v>
      </c>
      <c r="Y41" s="4">
        <f t="shared" si="16"/>
        <v>6.8409639222486147</v>
      </c>
      <c r="Z41" s="4">
        <f t="shared" si="17"/>
        <v>-109.73337565977697</v>
      </c>
      <c r="AA41" s="4">
        <f t="shared" si="18"/>
        <v>125.18280062117022</v>
      </c>
      <c r="AB41" s="4">
        <f t="shared" si="19"/>
        <v>-442.1937116975875</v>
      </c>
      <c r="AC41" s="4">
        <f t="shared" si="20"/>
        <v>5.1810574249826136</v>
      </c>
      <c r="AD41" s="4">
        <f t="shared" si="21"/>
        <v>256.43148305784342</v>
      </c>
      <c r="AE41" s="4">
        <f t="shared" si="22"/>
        <v>226.3479489197303</v>
      </c>
      <c r="AF41" s="4">
        <f t="shared" si="23"/>
        <v>494.07300579595096</v>
      </c>
      <c r="AG41" s="4">
        <f t="shared" si="24"/>
        <v>-832.21792320205191</v>
      </c>
      <c r="AH41" s="4">
        <f t="shared" si="25"/>
        <v>2313.4743196881573</v>
      </c>
      <c r="AI41" s="4">
        <f t="shared" si="26"/>
        <v>2567.3260332038408</v>
      </c>
      <c r="AJ41" s="4">
        <f t="shared" si="27"/>
        <v>-163.94007755868682</v>
      </c>
      <c r="AK41" s="4">
        <f t="shared" si="28"/>
        <v>-5036.5345113160165</v>
      </c>
      <c r="AL41" s="4">
        <f t="shared" si="29"/>
        <v>-17208.057925983903</v>
      </c>
      <c r="AM41" s="4">
        <f t="shared" si="30"/>
        <v>-255.64901097162405</v>
      </c>
      <c r="AN41" s="4">
        <f t="shared" si="31"/>
        <v>999.06614863916661</v>
      </c>
      <c r="AO41" s="4">
        <f t="shared" si="32"/>
        <v>6718.5134652410279</v>
      </c>
      <c r="AP41" s="4">
        <f t="shared" si="33"/>
        <v>12244.252201422449</v>
      </c>
      <c r="AQ41" s="4">
        <f t="shared" si="34"/>
        <v>1.0885778670372295E-2</v>
      </c>
      <c r="AR41" s="4">
        <f t="shared" si="35"/>
        <v>-0.72129327934961462</v>
      </c>
      <c r="AS41" s="4">
        <f t="shared" si="36"/>
        <v>1.3151210387639913E-2</v>
      </c>
      <c r="AT41" s="4">
        <f t="shared" si="37"/>
        <v>1.9356088411134935</v>
      </c>
      <c r="AU41" s="4">
        <f t="shared" si="38"/>
        <v>7.6415052585312058</v>
      </c>
      <c r="AV41" s="4">
        <f t="shared" si="39"/>
        <v>-4.2858293240208567E-2</v>
      </c>
      <c r="AW41" s="4">
        <f t="shared" si="40"/>
        <v>-25.25481187812348</v>
      </c>
      <c r="AX41" s="4">
        <f t="shared" si="41"/>
        <v>-14.101155604880644</v>
      </c>
      <c r="AY41" s="4">
        <f t="shared" si="42"/>
        <v>15.633895673689764</v>
      </c>
      <c r="AZ41" s="4">
        <f t="shared" si="43"/>
        <v>54.548335399660452</v>
      </c>
      <c r="BA41" s="4">
        <f t="shared" si="44"/>
        <v>-5.7924622274801685</v>
      </c>
      <c r="BB41" s="4">
        <f t="shared" si="45"/>
        <v>-129.80364445495573</v>
      </c>
      <c r="BC41" s="4">
        <f t="shared" si="46"/>
        <v>-35.037036923409033</v>
      </c>
      <c r="BD41" s="4">
        <f t="shared" si="47"/>
        <v>194.99331699877658</v>
      </c>
      <c r="BE41" s="4">
        <f t="shared" si="48"/>
        <v>266.38791693091167</v>
      </c>
      <c r="BF41" s="4">
        <f t="shared" si="49"/>
        <v>-90.972195169567826</v>
      </c>
      <c r="BG41" s="4">
        <f t="shared" si="50"/>
        <v>-28.399660872252021</v>
      </c>
      <c r="BH41" s="4">
        <f t="shared" si="51"/>
        <v>-232.21836009086212</v>
      </c>
      <c r="BI41" s="4">
        <f t="shared" si="52"/>
        <v>-14.479722902808085</v>
      </c>
      <c r="BJ41" s="4">
        <f t="shared" si="53"/>
        <v>-184.68173368652262</v>
      </c>
      <c r="BK41" s="4">
        <f t="shared" si="54"/>
        <v>14.520849354525691</v>
      </c>
      <c r="BL41" s="4">
        <f t="shared" si="55"/>
        <v>396.11562826516717</v>
      </c>
      <c r="BM41" s="4">
        <f t="shared" si="56"/>
        <v>443.44780807547528</v>
      </c>
      <c r="BN41" s="4">
        <f t="shared" si="57"/>
        <v>-398.29230318894577</v>
      </c>
      <c r="BO41" s="4">
        <f t="shared" si="58"/>
        <v>-1982.1347045378548</v>
      </c>
      <c r="BP41" s="4">
        <f t="shared" si="59"/>
        <v>-620.09561492076966</v>
      </c>
      <c r="BQ41" s="4">
        <f t="shared" si="60"/>
        <v>-224.07396791965945</v>
      </c>
      <c r="BR41" s="4">
        <f t="shared" si="61"/>
        <v>616.12437926670748</v>
      </c>
      <c r="BS41" s="4">
        <f t="shared" si="62"/>
        <v>2588.7131093219659</v>
      </c>
      <c r="BT41" s="4">
        <f t="shared" si="63"/>
        <v>5238.895213226443</v>
      </c>
      <c r="BU41" s="4">
        <f t="shared" si="64"/>
        <v>37.439417882548248</v>
      </c>
      <c r="BV41" s="4">
        <f t="shared" si="65"/>
        <v>294.25224901176597</v>
      </c>
      <c r="BW41" s="4">
        <f t="shared" si="66"/>
        <v>-765.79326252965927</v>
      </c>
      <c r="BX41" s="4">
        <f t="shared" si="67"/>
        <v>-2150.9499554908853</v>
      </c>
      <c r="BY41" s="4">
        <f t="shared" si="68"/>
        <v>-3138.9512472213455</v>
      </c>
      <c r="BZ41" s="6">
        <f t="shared" si="69"/>
        <v>-0.4564447642169398</v>
      </c>
      <c r="CA41" s="7"/>
      <c r="CB41" s="6">
        <v>-0.45646663151364919</v>
      </c>
      <c r="CC41" s="6"/>
    </row>
    <row r="42" spans="1:81" x14ac:dyDescent="0.3">
      <c r="A42" s="4">
        <v>40</v>
      </c>
      <c r="B42" s="4">
        <v>25269969</v>
      </c>
      <c r="C42" s="4">
        <v>5.4279999999999999</v>
      </c>
      <c r="D42" s="4">
        <v>5.694</v>
      </c>
      <c r="E42" s="4">
        <v>0.69899999999999995</v>
      </c>
      <c r="F42" s="4">
        <v>3.911</v>
      </c>
      <c r="H42" s="6">
        <v>-2618.81325553337</v>
      </c>
      <c r="I42" s="4">
        <f t="shared" si="0"/>
        <v>251.92868979880001</v>
      </c>
      <c r="J42" s="4">
        <f t="shared" si="1"/>
        <v>-2802.1783181340002</v>
      </c>
      <c r="K42" s="4">
        <f t="shared" si="2"/>
        <v>1655.8097933999998</v>
      </c>
      <c r="L42" s="4">
        <f t="shared" si="3"/>
        <v>12638.42043532</v>
      </c>
      <c r="M42" s="4">
        <f t="shared" si="4"/>
        <v>113.84164229005088</v>
      </c>
      <c r="N42" s="4">
        <f t="shared" si="5"/>
        <v>78.185928986714629</v>
      </c>
      <c r="O42" s="4">
        <f t="shared" si="6"/>
        <v>-261.15326853057593</v>
      </c>
      <c r="P42" s="4">
        <f t="shared" si="7"/>
        <v>-813.96895918293194</v>
      </c>
      <c r="Q42" s="4">
        <f t="shared" si="8"/>
        <v>-389.09067571647</v>
      </c>
      <c r="R42" s="4">
        <f t="shared" si="9"/>
        <v>720.22639367811587</v>
      </c>
      <c r="S42" s="4">
        <f t="shared" si="10"/>
        <v>9422.2101551448777</v>
      </c>
      <c r="T42" s="4">
        <f t="shared" si="11"/>
        <v>-202.80397179432597</v>
      </c>
      <c r="U42" s="4">
        <f t="shared" si="12"/>
        <v>-5620.7120383095908</v>
      </c>
      <c r="V42" s="4">
        <f t="shared" si="13"/>
        <v>-22740.410570081698</v>
      </c>
      <c r="W42" s="4">
        <f t="shared" si="14"/>
        <v>-5.7872440533525547</v>
      </c>
      <c r="X42" s="4">
        <f t="shared" si="15"/>
        <v>22.260227771301903</v>
      </c>
      <c r="Y42" s="4">
        <f t="shared" si="16"/>
        <v>12.249506991376208</v>
      </c>
      <c r="Z42" s="4">
        <f t="shared" si="17"/>
        <v>-302.21181711081391</v>
      </c>
      <c r="AA42" s="4">
        <f t="shared" si="18"/>
        <v>40.887910713398931</v>
      </c>
      <c r="AB42" s="4">
        <f t="shared" si="19"/>
        <v>-232.80023554427154</v>
      </c>
      <c r="AC42" s="4">
        <f t="shared" si="20"/>
        <v>4.1952771043935186</v>
      </c>
      <c r="AD42" s="4">
        <f t="shared" si="21"/>
        <v>217.6019556277592</v>
      </c>
      <c r="AE42" s="4">
        <f t="shared" si="22"/>
        <v>295.41966848016608</v>
      </c>
      <c r="AF42" s="4">
        <f t="shared" si="23"/>
        <v>991.8028738452839</v>
      </c>
      <c r="AG42" s="4">
        <f t="shared" si="24"/>
        <v>-79.920255595412684</v>
      </c>
      <c r="AH42" s="4">
        <f t="shared" si="25"/>
        <v>358.10062529562987</v>
      </c>
      <c r="AI42" s="4">
        <f t="shared" si="26"/>
        <v>611.21332534907287</v>
      </c>
      <c r="AJ42" s="4">
        <f t="shared" si="27"/>
        <v>-40.902149284888502</v>
      </c>
      <c r="AK42" s="4">
        <f t="shared" si="28"/>
        <v>-1932.6989041088948</v>
      </c>
      <c r="AL42" s="4">
        <f t="shared" si="29"/>
        <v>-10156.302754523344</v>
      </c>
      <c r="AM42" s="4">
        <f t="shared" si="30"/>
        <v>-102.80771511691559</v>
      </c>
      <c r="AN42" s="4">
        <f t="shared" si="31"/>
        <v>617.94130715947711</v>
      </c>
      <c r="AO42" s="4">
        <f t="shared" si="32"/>
        <v>6391.42310159114</v>
      </c>
      <c r="AP42" s="4">
        <f t="shared" si="33"/>
        <v>17915.462965365306</v>
      </c>
      <c r="AQ42" s="4">
        <f t="shared" si="34"/>
        <v>6.4063066951068656E-2</v>
      </c>
      <c r="AR42" s="4">
        <f t="shared" si="35"/>
        <v>-1.2480433056180289</v>
      </c>
      <c r="AS42" s="4">
        <f t="shared" si="36"/>
        <v>3.6677868734399301E-2</v>
      </c>
      <c r="AT42" s="4">
        <f t="shared" si="37"/>
        <v>8.302853145053712</v>
      </c>
      <c r="AU42" s="4">
        <f t="shared" si="38"/>
        <v>3.8874626458612047</v>
      </c>
      <c r="AV42" s="4">
        <f t="shared" si="39"/>
        <v>-3.5143319563057947E-2</v>
      </c>
      <c r="AW42" s="4">
        <f t="shared" si="40"/>
        <v>-31.851027013899934</v>
      </c>
      <c r="AX42" s="4">
        <f t="shared" si="41"/>
        <v>-18.637309252567427</v>
      </c>
      <c r="AY42" s="4">
        <f t="shared" si="42"/>
        <v>31.780967127876966</v>
      </c>
      <c r="AZ42" s="4">
        <f t="shared" si="43"/>
        <v>170.55042056908346</v>
      </c>
      <c r="BA42" s="4">
        <f t="shared" si="44"/>
        <v>-0.86640323726551438</v>
      </c>
      <c r="BB42" s="4">
        <f t="shared" si="45"/>
        <v>-31.294234965190981</v>
      </c>
      <c r="BC42" s="4">
        <f t="shared" si="46"/>
        <v>-12.992006125345339</v>
      </c>
      <c r="BD42" s="4">
        <f t="shared" si="47"/>
        <v>75.773574844457016</v>
      </c>
      <c r="BE42" s="4">
        <f t="shared" si="48"/>
        <v>159.2149939209605</v>
      </c>
      <c r="BF42" s="4">
        <f t="shared" si="49"/>
        <v>-83.627576289815536</v>
      </c>
      <c r="BG42" s="4">
        <f t="shared" si="50"/>
        <v>-17.788191688662945</v>
      </c>
      <c r="BH42" s="4">
        <f t="shared" si="51"/>
        <v>-223.71061592731914</v>
      </c>
      <c r="BI42" s="4">
        <f t="shared" si="52"/>
        <v>-21.45466232687388</v>
      </c>
      <c r="BJ42" s="4">
        <f t="shared" si="53"/>
        <v>-420.8785266582417</v>
      </c>
      <c r="BK42" s="4">
        <f t="shared" si="54"/>
        <v>0.63858456772322281</v>
      </c>
      <c r="BL42" s="4">
        <f t="shared" si="55"/>
        <v>28.078181264465549</v>
      </c>
      <c r="BM42" s="4">
        <f t="shared" si="56"/>
        <v>48.346039395735318</v>
      </c>
      <c r="BN42" s="4">
        <f t="shared" si="57"/>
        <v>-45.506088489393491</v>
      </c>
      <c r="BO42" s="4">
        <f t="shared" si="58"/>
        <v>-348.31497914674355</v>
      </c>
      <c r="BP42" s="4">
        <f t="shared" si="59"/>
        <v>-167.59808004370456</v>
      </c>
      <c r="BQ42" s="4">
        <f t="shared" si="60"/>
        <v>-41.264785768386517</v>
      </c>
      <c r="BR42" s="4">
        <f t="shared" si="61"/>
        <v>174.5130772259532</v>
      </c>
      <c r="BS42" s="4">
        <f t="shared" si="62"/>
        <v>1127.7553575120967</v>
      </c>
      <c r="BT42" s="4">
        <f t="shared" si="63"/>
        <v>3510.2825958150593</v>
      </c>
      <c r="BU42" s="4">
        <f t="shared" si="64"/>
        <v>11.113167868323494</v>
      </c>
      <c r="BV42" s="4">
        <f t="shared" si="65"/>
        <v>134.33833794558822</v>
      </c>
      <c r="BW42" s="4">
        <f t="shared" si="66"/>
        <v>-537.72857303461319</v>
      </c>
      <c r="BX42" s="4">
        <f t="shared" si="67"/>
        <v>-2323.0217282892122</v>
      </c>
      <c r="BY42" s="4">
        <f t="shared" si="68"/>
        <v>-5214.0948755893332</v>
      </c>
      <c r="BZ42" s="6">
        <f t="shared" si="69"/>
        <v>-0.61684439581767947</v>
      </c>
      <c r="CA42" s="7"/>
      <c r="CB42" s="6">
        <v>-0.6168492638553289</v>
      </c>
      <c r="CC42" s="6"/>
    </row>
    <row r="43" spans="1:81" x14ac:dyDescent="0.3">
      <c r="A43" s="4">
        <v>41</v>
      </c>
      <c r="B43" s="4">
        <v>122187932</v>
      </c>
      <c r="C43" s="4">
        <v>7.4240000000000004</v>
      </c>
      <c r="D43" s="4">
        <v>4.976</v>
      </c>
      <c r="E43" s="4">
        <v>0.41699999999999998</v>
      </c>
      <c r="F43" s="4">
        <v>3.3980000000000001</v>
      </c>
      <c r="H43" s="6">
        <v>-2618.81325553337</v>
      </c>
      <c r="I43" s="4">
        <f t="shared" si="0"/>
        <v>344.56864279040002</v>
      </c>
      <c r="J43" s="4">
        <f t="shared" si="1"/>
        <v>-2448.830226736</v>
      </c>
      <c r="K43" s="4">
        <f t="shared" si="2"/>
        <v>987.80069219999996</v>
      </c>
      <c r="L43" s="4">
        <f t="shared" si="3"/>
        <v>10980.65779576</v>
      </c>
      <c r="M43" s="4">
        <f t="shared" si="4"/>
        <v>212.95968745029634</v>
      </c>
      <c r="N43" s="4">
        <f t="shared" si="5"/>
        <v>93.452222390804479</v>
      </c>
      <c r="O43" s="4">
        <f t="shared" si="6"/>
        <v>-213.08479898726398</v>
      </c>
      <c r="P43" s="4">
        <f t="shared" si="7"/>
        <v>-967.25620879820804</v>
      </c>
      <c r="Q43" s="4">
        <f t="shared" si="8"/>
        <v>-297.15062025152002</v>
      </c>
      <c r="R43" s="4">
        <f t="shared" si="9"/>
        <v>375.48346829731196</v>
      </c>
      <c r="S43" s="4">
        <f t="shared" si="10"/>
        <v>7154.0381879924171</v>
      </c>
      <c r="T43" s="4">
        <f t="shared" si="11"/>
        <v>-72.176233473413987</v>
      </c>
      <c r="U43" s="4">
        <f t="shared" si="12"/>
        <v>-2913.3037897494605</v>
      </c>
      <c r="V43" s="4">
        <f t="shared" si="13"/>
        <v>-17166.012270070802</v>
      </c>
      <c r="W43" s="4">
        <f t="shared" si="14"/>
        <v>-14.806969097807466</v>
      </c>
      <c r="X43" s="4">
        <f t="shared" si="15"/>
        <v>36.390561869147938</v>
      </c>
      <c r="Y43" s="4">
        <f t="shared" si="16"/>
        <v>13.670164402294949</v>
      </c>
      <c r="Z43" s="4">
        <f t="shared" si="17"/>
        <v>-491.18291162101059</v>
      </c>
      <c r="AA43" s="4">
        <f t="shared" si="18"/>
        <v>42.708946767148419</v>
      </c>
      <c r="AB43" s="4">
        <f t="shared" si="19"/>
        <v>-165.99818047494759</v>
      </c>
      <c r="AC43" s="4">
        <f t="shared" si="20"/>
        <v>4.3566958660712931</v>
      </c>
      <c r="AD43" s="4">
        <f t="shared" si="21"/>
        <v>105.9201718716391</v>
      </c>
      <c r="AE43" s="4">
        <f t="shared" si="22"/>
        <v>209.42666094081443</v>
      </c>
      <c r="AF43" s="4">
        <f t="shared" si="23"/>
        <v>1023.9873787873222</v>
      </c>
      <c r="AG43" s="4">
        <f t="shared" si="24"/>
        <v>-53.339088612020703</v>
      </c>
      <c r="AH43" s="4">
        <f t="shared" si="25"/>
        <v>163.15101362777872</v>
      </c>
      <c r="AI43" s="4">
        <f t="shared" si="26"/>
        <v>405.55913701554249</v>
      </c>
      <c r="AJ43" s="4">
        <f t="shared" si="27"/>
        <v>-12.721162396785521</v>
      </c>
      <c r="AK43" s="4">
        <f t="shared" si="28"/>
        <v>-875.43024544443381</v>
      </c>
      <c r="AL43" s="4">
        <f t="shared" si="29"/>
        <v>-6699.9207323996634</v>
      </c>
      <c r="AM43" s="4">
        <f t="shared" si="30"/>
        <v>-21.827416967749041</v>
      </c>
      <c r="AN43" s="4">
        <f t="shared" si="31"/>
        <v>191.07353755405813</v>
      </c>
      <c r="AO43" s="4">
        <f t="shared" si="32"/>
        <v>2878.2437114454174</v>
      </c>
      <c r="AP43" s="4">
        <f t="shared" si="33"/>
        <v>11749.914631780635</v>
      </c>
      <c r="AQ43" s="4">
        <f t="shared" si="34"/>
        <v>0.22418173352644299</v>
      </c>
      <c r="AR43" s="4">
        <f t="shared" si="35"/>
        <v>-2.7905315474175123</v>
      </c>
      <c r="AS43" s="4">
        <f t="shared" si="36"/>
        <v>5.5983151618005947E-2</v>
      </c>
      <c r="AT43" s="4">
        <f t="shared" si="37"/>
        <v>18.456837465316738</v>
      </c>
      <c r="AU43" s="4">
        <f t="shared" si="38"/>
        <v>5.5537751785055383</v>
      </c>
      <c r="AV43" s="4">
        <f t="shared" si="39"/>
        <v>-3.427368636070529E-2</v>
      </c>
      <c r="AW43" s="4">
        <f t="shared" si="40"/>
        <v>-45.239537498675652</v>
      </c>
      <c r="AX43" s="4">
        <f t="shared" si="41"/>
        <v>-12.407869539409692</v>
      </c>
      <c r="AY43" s="4">
        <f t="shared" si="42"/>
        <v>30.814689456042117</v>
      </c>
      <c r="AZ43" s="4">
        <f t="shared" si="43"/>
        <v>240.83530949360261</v>
      </c>
      <c r="BA43" s="4">
        <f t="shared" si="44"/>
        <v>-0.79087330588679983</v>
      </c>
      <c r="BB43" s="4">
        <f t="shared" si="45"/>
        <v>-19.500563457417403</v>
      </c>
      <c r="BC43" s="4">
        <f t="shared" si="46"/>
        <v>-11.790594873446148</v>
      </c>
      <c r="BD43" s="4">
        <f t="shared" si="47"/>
        <v>32.232691266902414</v>
      </c>
      <c r="BE43" s="4">
        <f t="shared" si="48"/>
        <v>98.636904742481647</v>
      </c>
      <c r="BF43" s="4">
        <f t="shared" si="49"/>
        <v>-75.453894486664637</v>
      </c>
      <c r="BG43" s="4">
        <f t="shared" si="50"/>
        <v>-5.1654309779147525</v>
      </c>
      <c r="BH43" s="4">
        <f t="shared" si="51"/>
        <v>-94.610216170973317</v>
      </c>
      <c r="BI43" s="4">
        <f t="shared" si="52"/>
        <v>-13.214471669895044</v>
      </c>
      <c r="BJ43" s="4">
        <f t="shared" si="53"/>
        <v>-377.53878031908374</v>
      </c>
      <c r="BK43" s="4">
        <f t="shared" si="54"/>
        <v>0.37245178027629189</v>
      </c>
      <c r="BL43" s="4">
        <f t="shared" si="55"/>
        <v>11.179350671679455</v>
      </c>
      <c r="BM43" s="4">
        <f t="shared" si="56"/>
        <v>28.034007603741308</v>
      </c>
      <c r="BN43" s="4">
        <f t="shared" si="57"/>
        <v>-12.368387500524657</v>
      </c>
      <c r="BO43" s="4">
        <f t="shared" si="58"/>
        <v>-137.87718471942082</v>
      </c>
      <c r="BP43" s="4">
        <f t="shared" si="59"/>
        <v>-96.619764381248942</v>
      </c>
      <c r="BQ43" s="4">
        <f t="shared" si="60"/>
        <v>-7.6563035093842204</v>
      </c>
      <c r="BR43" s="4">
        <f t="shared" si="61"/>
        <v>47.156786508042273</v>
      </c>
      <c r="BS43" s="4">
        <f t="shared" si="62"/>
        <v>443.82095562026689</v>
      </c>
      <c r="BT43" s="4">
        <f t="shared" si="63"/>
        <v>2011.9244360061318</v>
      </c>
      <c r="BU43" s="4">
        <f t="shared" si="64"/>
        <v>1.4075809855149275</v>
      </c>
      <c r="BV43" s="4">
        <f t="shared" si="65"/>
        <v>24.78061994717936</v>
      </c>
      <c r="BW43" s="4">
        <f t="shared" si="66"/>
        <v>-144.46145663005228</v>
      </c>
      <c r="BX43" s="4">
        <f t="shared" si="67"/>
        <v>-908.90569985958086</v>
      </c>
      <c r="BY43" s="4">
        <f t="shared" si="68"/>
        <v>-2971.1266418304444</v>
      </c>
      <c r="BZ43" s="6">
        <f t="shared" si="69"/>
        <v>-0.5567161583280722</v>
      </c>
      <c r="CA43" s="7"/>
      <c r="CB43" s="6">
        <v>-0.55671651856755489</v>
      </c>
      <c r="CC43" s="6"/>
    </row>
    <row r="44" spans="1:81" x14ac:dyDescent="0.3">
      <c r="A44" s="4">
        <v>42</v>
      </c>
      <c r="B44" s="4">
        <v>5957910</v>
      </c>
      <c r="C44" s="4">
        <v>4.0620000000000003</v>
      </c>
      <c r="D44" s="4">
        <v>3.625</v>
      </c>
      <c r="E44" s="4">
        <v>0.47699999999999998</v>
      </c>
      <c r="F44" s="4">
        <v>3.4430000000000001</v>
      </c>
      <c r="H44" s="6">
        <v>-2618.81325553337</v>
      </c>
      <c r="I44" s="4">
        <f t="shared" si="0"/>
        <v>188.52880213020001</v>
      </c>
      <c r="J44" s="4">
        <f t="shared" si="1"/>
        <v>-1783.9649461250001</v>
      </c>
      <c r="K44" s="4">
        <f t="shared" si="2"/>
        <v>1129.9302881999999</v>
      </c>
      <c r="L44" s="4">
        <f t="shared" si="3"/>
        <v>11126.07557116</v>
      </c>
      <c r="M44" s="4">
        <f t="shared" si="4"/>
        <v>63.753100767712098</v>
      </c>
      <c r="N44" s="4">
        <f t="shared" si="5"/>
        <v>37.249395472432496</v>
      </c>
      <c r="O44" s="4">
        <f t="shared" si="6"/>
        <v>-133.36342767799201</v>
      </c>
      <c r="P44" s="4">
        <f t="shared" si="7"/>
        <v>-536.23743641021395</v>
      </c>
      <c r="Q44" s="4">
        <f t="shared" si="8"/>
        <v>-157.7000821484375</v>
      </c>
      <c r="R44" s="4">
        <f t="shared" si="9"/>
        <v>312.89655676724999</v>
      </c>
      <c r="S44" s="4">
        <f t="shared" si="10"/>
        <v>5280.7127164811254</v>
      </c>
      <c r="T44" s="4">
        <f t="shared" si="11"/>
        <v>-94.440627216053983</v>
      </c>
      <c r="U44" s="4">
        <f t="shared" si="12"/>
        <v>-3376.6165597814102</v>
      </c>
      <c r="V44" s="4">
        <f t="shared" si="13"/>
        <v>-17623.684723527302</v>
      </c>
      <c r="W44" s="4">
        <f t="shared" si="14"/>
        <v>-2.4253366947521786</v>
      </c>
      <c r="X44" s="4">
        <f t="shared" si="15"/>
        <v>7.936340858107692</v>
      </c>
      <c r="Y44" s="4">
        <f t="shared" si="16"/>
        <v>4.6812299330278639</v>
      </c>
      <c r="Z44" s="4">
        <f t="shared" si="17"/>
        <v>-148.99126553218449</v>
      </c>
      <c r="AA44" s="4">
        <f t="shared" si="18"/>
        <v>12.401553634453782</v>
      </c>
      <c r="AB44" s="4">
        <f t="shared" si="19"/>
        <v>-75.685946577116638</v>
      </c>
      <c r="AC44" s="4">
        <f t="shared" si="20"/>
        <v>1.7595454397656347</v>
      </c>
      <c r="AD44" s="4">
        <f t="shared" si="21"/>
        <v>75.830737676547542</v>
      </c>
      <c r="AE44" s="4">
        <f t="shared" si="22"/>
        <v>132.80973085077187</v>
      </c>
      <c r="AF44" s="4">
        <f t="shared" si="23"/>
        <v>575.20659390122717</v>
      </c>
      <c r="AG44" s="4">
        <f t="shared" si="24"/>
        <v>-20.621892017976563</v>
      </c>
      <c r="AH44" s="4">
        <f t="shared" si="25"/>
        <v>99.043819231415625</v>
      </c>
      <c r="AI44" s="4">
        <f t="shared" si="26"/>
        <v>218.08365485438983</v>
      </c>
      <c r="AJ44" s="4">
        <f t="shared" si="27"/>
        <v>-12.126042447515099</v>
      </c>
      <c r="AK44" s="4">
        <f t="shared" si="28"/>
        <v>-739.17140632052849</v>
      </c>
      <c r="AL44" s="4">
        <f t="shared" si="29"/>
        <v>-5011.002277235807</v>
      </c>
      <c r="AM44" s="4">
        <f t="shared" si="30"/>
        <v>-32.670013732217598</v>
      </c>
      <c r="AN44" s="4">
        <f t="shared" si="31"/>
        <v>253.32546036068987</v>
      </c>
      <c r="AO44" s="4">
        <f t="shared" si="32"/>
        <v>3380.1594299898884</v>
      </c>
      <c r="AP44" s="4">
        <f t="shared" si="33"/>
        <v>12222.939321612148</v>
      </c>
      <c r="AQ44" s="4">
        <f t="shared" si="34"/>
        <v>2.0091300370886956E-2</v>
      </c>
      <c r="AR44" s="4">
        <f t="shared" si="35"/>
        <v>-0.33298175921543327</v>
      </c>
      <c r="AS44" s="4">
        <f t="shared" si="36"/>
        <v>1.0489276542304913E-2</v>
      </c>
      <c r="AT44" s="4">
        <f t="shared" si="37"/>
        <v>3.0632102283730389</v>
      </c>
      <c r="AU44" s="4">
        <f t="shared" si="38"/>
        <v>0.88236339968336597</v>
      </c>
      <c r="AV44" s="4">
        <f t="shared" si="39"/>
        <v>-8.550168886540515E-3</v>
      </c>
      <c r="AW44" s="4">
        <f t="shared" si="40"/>
        <v>-9.9968541373621651</v>
      </c>
      <c r="AX44" s="4">
        <f t="shared" si="41"/>
        <v>-4.8603302346220918</v>
      </c>
      <c r="AY44" s="4">
        <f t="shared" si="42"/>
        <v>10.69196871464921</v>
      </c>
      <c r="AZ44" s="4">
        <f t="shared" si="43"/>
        <v>74.020389893860212</v>
      </c>
      <c r="BA44" s="4">
        <f t="shared" si="44"/>
        <v>-0.16729840123547227</v>
      </c>
      <c r="BB44" s="4">
        <f t="shared" si="45"/>
        <v>-6.4771912213958389</v>
      </c>
      <c r="BC44" s="4">
        <f t="shared" si="46"/>
        <v>-3.469018370388981</v>
      </c>
      <c r="BD44" s="4">
        <f t="shared" si="47"/>
        <v>16.810894073115087</v>
      </c>
      <c r="BE44" s="4">
        <f t="shared" si="48"/>
        <v>45.568528317559164</v>
      </c>
      <c r="BF44" s="4">
        <f t="shared" si="49"/>
        <v>-30.877245573449645</v>
      </c>
      <c r="BG44" s="4">
        <f t="shared" si="50"/>
        <v>-4.2301473037375326</v>
      </c>
      <c r="BH44" s="4">
        <f t="shared" si="51"/>
        <v>-68.630677629687995</v>
      </c>
      <c r="BI44" s="4">
        <f t="shared" si="52"/>
        <v>-8.4910496524592478</v>
      </c>
      <c r="BJ44" s="4">
        <f t="shared" si="53"/>
        <v>-214.8841925547313</v>
      </c>
      <c r="BK44" s="4">
        <f t="shared" si="54"/>
        <v>0.10490123747005786</v>
      </c>
      <c r="BL44" s="4">
        <f t="shared" si="55"/>
        <v>4.9440382376741541</v>
      </c>
      <c r="BM44" s="4">
        <f t="shared" si="56"/>
        <v>10.98200792168087</v>
      </c>
      <c r="BN44" s="4">
        <f t="shared" si="57"/>
        <v>-8.5888102829811697</v>
      </c>
      <c r="BO44" s="4">
        <f t="shared" si="58"/>
        <v>-84.809334978843495</v>
      </c>
      <c r="BP44" s="4">
        <f t="shared" si="59"/>
        <v>-52.643959805868889</v>
      </c>
      <c r="BQ44" s="4">
        <f t="shared" si="60"/>
        <v>-8.3482174484038119</v>
      </c>
      <c r="BR44" s="4">
        <f t="shared" si="61"/>
        <v>45.54598911622233</v>
      </c>
      <c r="BS44" s="4">
        <f t="shared" si="62"/>
        <v>379.70390520844171</v>
      </c>
      <c r="BT44" s="4">
        <f t="shared" si="63"/>
        <v>1524.6854264826884</v>
      </c>
      <c r="BU44" s="4">
        <f t="shared" si="64"/>
        <v>2.4099203430710805</v>
      </c>
      <c r="BV44" s="4">
        <f t="shared" si="65"/>
        <v>37.581385537156059</v>
      </c>
      <c r="BW44" s="4">
        <f t="shared" si="66"/>
        <v>-194.0635332133225</v>
      </c>
      <c r="BX44" s="4">
        <f t="shared" si="67"/>
        <v>-1081.5387781847455</v>
      </c>
      <c r="BY44" s="4">
        <f t="shared" si="68"/>
        <v>-3131.6683007583565</v>
      </c>
      <c r="BZ44" s="6">
        <f t="shared" si="69"/>
        <v>-1.2523520478566752</v>
      </c>
      <c r="CA44" s="7"/>
      <c r="CB44" s="6">
        <v>-1.25235004555725</v>
      </c>
      <c r="CC44" s="6"/>
    </row>
    <row r="45" spans="1:81" x14ac:dyDescent="0.3">
      <c r="A45" s="4">
        <v>43</v>
      </c>
      <c r="B45" s="4">
        <v>12043480</v>
      </c>
      <c r="C45" s="4">
        <v>3.379</v>
      </c>
      <c r="D45" s="4">
        <v>12.510999999999999</v>
      </c>
      <c r="E45" s="4">
        <v>0.95899999999999996</v>
      </c>
      <c r="F45" s="4">
        <v>3.391</v>
      </c>
      <c r="H45" s="6">
        <v>-2618.81325553337</v>
      </c>
      <c r="I45" s="4">
        <f t="shared" si="0"/>
        <v>156.82885829590001</v>
      </c>
      <c r="J45" s="4">
        <f t="shared" si="1"/>
        <v>-6157.0166733709993</v>
      </c>
      <c r="K45" s="4">
        <f t="shared" si="2"/>
        <v>2271.7047094</v>
      </c>
      <c r="L45" s="4">
        <f t="shared" si="3"/>
        <v>10958.037252919999</v>
      </c>
      <c r="M45" s="4">
        <f t="shared" si="4"/>
        <v>44.116175716725621</v>
      </c>
      <c r="N45" s="4">
        <f t="shared" si="5"/>
        <v>106.94279115415762</v>
      </c>
      <c r="O45" s="4">
        <f t="shared" si="6"/>
        <v>-223.04128059978797</v>
      </c>
      <c r="P45" s="4">
        <f t="shared" si="7"/>
        <v>-439.33537111053096</v>
      </c>
      <c r="Q45" s="4">
        <f t="shared" si="8"/>
        <v>-1878.4513248033572</v>
      </c>
      <c r="R45" s="4">
        <f t="shared" si="9"/>
        <v>2171.1259857007135</v>
      </c>
      <c r="S45" s="4">
        <f t="shared" si="10"/>
        <v>17950.118572205967</v>
      </c>
      <c r="T45" s="4">
        <f t="shared" si="11"/>
        <v>-381.73266035840595</v>
      </c>
      <c r="U45" s="4">
        <f t="shared" si="12"/>
        <v>-6686.0980516453901</v>
      </c>
      <c r="V45" s="4">
        <f t="shared" si="13"/>
        <v>-17095.3599352737</v>
      </c>
      <c r="W45" s="4">
        <f t="shared" si="14"/>
        <v>-1.3961010563703697</v>
      </c>
      <c r="X45" s="4">
        <f t="shared" si="15"/>
        <v>18.953999754719618</v>
      </c>
      <c r="Y45" s="4">
        <f t="shared" si="16"/>
        <v>6.5126351205903514</v>
      </c>
      <c r="Z45" s="4">
        <f t="shared" si="17"/>
        <v>-101.54256311047411</v>
      </c>
      <c r="AA45" s="4">
        <f t="shared" si="18"/>
        <v>122.88316679301151</v>
      </c>
      <c r="AB45" s="4">
        <f t="shared" si="19"/>
        <v>-436.86551185317199</v>
      </c>
      <c r="AC45" s="4">
        <f t="shared" si="20"/>
        <v>4.975348882170155</v>
      </c>
      <c r="AD45" s="4">
        <f t="shared" si="21"/>
        <v>254.97289190691168</v>
      </c>
      <c r="AE45" s="4">
        <f t="shared" si="22"/>
        <v>218.76062952966279</v>
      </c>
      <c r="AF45" s="4">
        <f t="shared" si="23"/>
        <v>464.14498549452424</v>
      </c>
      <c r="AG45" s="4">
        <f t="shared" si="24"/>
        <v>-847.77488768448063</v>
      </c>
      <c r="AH45" s="4">
        <f t="shared" si="25"/>
        <v>2371.8959489085787</v>
      </c>
      <c r="AI45" s="4">
        <f t="shared" si="26"/>
        <v>2558.4793162586197</v>
      </c>
      <c r="AJ45" s="4">
        <f t="shared" si="27"/>
        <v>-169.16228918929781</v>
      </c>
      <c r="AK45" s="4">
        <f t="shared" si="28"/>
        <v>-5051.4977854060489</v>
      </c>
      <c r="AL45" s="4">
        <f t="shared" si="29"/>
        <v>-16776.066826122857</v>
      </c>
      <c r="AM45" s="4">
        <f t="shared" si="30"/>
        <v>-265.4911210976278</v>
      </c>
      <c r="AN45" s="4">
        <f t="shared" si="31"/>
        <v>1008.4864418058442</v>
      </c>
      <c r="AO45" s="4">
        <f t="shared" si="32"/>
        <v>6592.0265393184618</v>
      </c>
      <c r="AP45" s="4">
        <f t="shared" si="33"/>
        <v>11677.448402736471</v>
      </c>
      <c r="AQ45" s="4">
        <f t="shared" si="34"/>
        <v>9.6205773868499028E-3</v>
      </c>
      <c r="AR45" s="4">
        <f t="shared" si="35"/>
        <v>-0.66152958991715693</v>
      </c>
      <c r="AS45" s="4">
        <f t="shared" si="36"/>
        <v>1.2139214393822768E-2</v>
      </c>
      <c r="AT45" s="4">
        <f t="shared" si="37"/>
        <v>1.7366503519771719</v>
      </c>
      <c r="AU45" s="4">
        <f t="shared" si="38"/>
        <v>7.272974369869484</v>
      </c>
      <c r="AV45" s="4">
        <f t="shared" si="39"/>
        <v>-4.1054000182361668E-2</v>
      </c>
      <c r="AW45" s="4">
        <f t="shared" si="40"/>
        <v>-23.514442202698277</v>
      </c>
      <c r="AX45" s="4">
        <f t="shared" si="41"/>
        <v>-13.594485631599383</v>
      </c>
      <c r="AY45" s="4">
        <f t="shared" si="42"/>
        <v>14.650256211507651</v>
      </c>
      <c r="AZ45" s="4">
        <f t="shared" si="43"/>
        <v>49.685475209252211</v>
      </c>
      <c r="BA45" s="4">
        <f t="shared" si="44"/>
        <v>-5.721265512422451</v>
      </c>
      <c r="BB45" s="4">
        <f t="shared" si="45"/>
        <v>-129.03372825575545</v>
      </c>
      <c r="BC45" s="4">
        <f t="shared" si="46"/>
        <v>-33.854286548623435</v>
      </c>
      <c r="BD45" s="4">
        <f t="shared" si="47"/>
        <v>195.08485437960852</v>
      </c>
      <c r="BE45" s="4">
        <f t="shared" si="48"/>
        <v>259.05279591424198</v>
      </c>
      <c r="BF45" s="4">
        <f t="shared" si="49"/>
        <v>-85.990875742204665</v>
      </c>
      <c r="BG45" s="4">
        <f t="shared" si="50"/>
        <v>-28.5959446577892</v>
      </c>
      <c r="BH45" s="4">
        <f t="shared" si="51"/>
        <v>-227.27820093659642</v>
      </c>
      <c r="BI45" s="4">
        <f t="shared" si="52"/>
        <v>-13.774993908171082</v>
      </c>
      <c r="BJ45" s="4">
        <f t="shared" si="53"/>
        <v>-170.77529442429216</v>
      </c>
      <c r="BK45" s="4">
        <f t="shared" si="54"/>
        <v>14.883897280582138</v>
      </c>
      <c r="BL45" s="4">
        <f t="shared" si="55"/>
        <v>408.63361403633706</v>
      </c>
      <c r="BM45" s="4">
        <f t="shared" si="56"/>
        <v>444.65641199568933</v>
      </c>
      <c r="BN45" s="4">
        <f t="shared" si="57"/>
        <v>-413.52473538058177</v>
      </c>
      <c r="BO45" s="4">
        <f t="shared" si="58"/>
        <v>-2000.3347486796597</v>
      </c>
      <c r="BP45" s="4">
        <f t="shared" si="59"/>
        <v>-608.27239765622187</v>
      </c>
      <c r="BQ45" s="4">
        <f t="shared" si="60"/>
        <v>-234.14152912700681</v>
      </c>
      <c r="BR45" s="4">
        <f t="shared" si="61"/>
        <v>625.78532508164528</v>
      </c>
      <c r="BS45" s="4">
        <f t="shared" si="62"/>
        <v>2555.7056865665045</v>
      </c>
      <c r="BT45" s="4">
        <f t="shared" si="63"/>
        <v>5027.3203896887981</v>
      </c>
      <c r="BU45" s="4">
        <f t="shared" si="64"/>
        <v>39.373461771777087</v>
      </c>
      <c r="BV45" s="4">
        <f t="shared" si="65"/>
        <v>300.79058540994401</v>
      </c>
      <c r="BW45" s="4">
        <f t="shared" si="66"/>
        <v>-760.89709231918243</v>
      </c>
      <c r="BX45" s="4">
        <f t="shared" si="67"/>
        <v>-2077.3736800067986</v>
      </c>
      <c r="BY45" s="4">
        <f t="shared" si="68"/>
        <v>-2946.7196869895733</v>
      </c>
      <c r="BZ45" s="6">
        <f t="shared" si="69"/>
        <v>-0.67681982260319273</v>
      </c>
      <c r="CA45" s="7"/>
      <c r="CB45" s="6">
        <v>-0.67684183236269746</v>
      </c>
      <c r="CC45" s="6"/>
    </row>
    <row r="46" spans="1:81" x14ac:dyDescent="0.3">
      <c r="A46" s="4">
        <v>44</v>
      </c>
      <c r="B46" s="4">
        <v>44614310</v>
      </c>
      <c r="C46" s="4">
        <v>2.9630000000000001</v>
      </c>
      <c r="D46" s="4">
        <v>3.3</v>
      </c>
      <c r="E46" s="4">
        <v>0.755</v>
      </c>
      <c r="F46" s="4">
        <v>3.669</v>
      </c>
      <c r="H46" s="6">
        <v>-2618.81325553337</v>
      </c>
      <c r="I46" s="4">
        <f t="shared" si="0"/>
        <v>137.5211326223</v>
      </c>
      <c r="J46" s="4">
        <f t="shared" si="1"/>
        <v>-1624.0232612999998</v>
      </c>
      <c r="K46" s="4">
        <f t="shared" si="2"/>
        <v>1788.4640829999998</v>
      </c>
      <c r="L46" s="4">
        <f t="shared" si="3"/>
        <v>11856.39595428</v>
      </c>
      <c r="M46" s="4">
        <f t="shared" si="4"/>
        <v>33.922259903422585</v>
      </c>
      <c r="N46" s="4">
        <f t="shared" si="5"/>
        <v>24.735283382732995</v>
      </c>
      <c r="O46" s="4">
        <f t="shared" si="6"/>
        <v>-153.97742555302</v>
      </c>
      <c r="P46" s="4">
        <f t="shared" si="7"/>
        <v>-416.83055980131297</v>
      </c>
      <c r="Q46" s="4">
        <f t="shared" si="8"/>
        <v>-130.690427175</v>
      </c>
      <c r="R46" s="4">
        <f t="shared" si="9"/>
        <v>450.85333401899993</v>
      </c>
      <c r="S46" s="4">
        <f t="shared" si="10"/>
        <v>5122.8207443258998</v>
      </c>
      <c r="T46" s="4">
        <f t="shared" si="11"/>
        <v>-236.60069058815</v>
      </c>
      <c r="U46" s="4">
        <f t="shared" si="12"/>
        <v>-5695.357730154451</v>
      </c>
      <c r="V46" s="4">
        <f t="shared" si="13"/>
        <v>-20013.271777109698</v>
      </c>
      <c r="W46" s="4">
        <f t="shared" si="14"/>
        <v>-0.94134156371513045</v>
      </c>
      <c r="X46" s="4">
        <f t="shared" si="15"/>
        <v>3.8442330297851082</v>
      </c>
      <c r="Y46" s="4">
        <f t="shared" si="16"/>
        <v>3.9425028030265858</v>
      </c>
      <c r="Z46" s="4">
        <f t="shared" si="17"/>
        <v>-84.480205756622667</v>
      </c>
      <c r="AA46" s="4">
        <f t="shared" si="18"/>
        <v>7.4968649285735687</v>
      </c>
      <c r="AB46" s="4">
        <f t="shared" si="19"/>
        <v>-79.550237545539744</v>
      </c>
      <c r="AC46" s="4">
        <f t="shared" si="20"/>
        <v>1.2451131999615197</v>
      </c>
      <c r="AD46" s="4">
        <f t="shared" si="21"/>
        <v>138.57795826758138</v>
      </c>
      <c r="AE46" s="4">
        <f t="shared" si="22"/>
        <v>163.40332542340968</v>
      </c>
      <c r="AF46" s="4">
        <f t="shared" si="23"/>
        <v>476.47154159219821</v>
      </c>
      <c r="AG46" s="4">
        <f t="shared" si="24"/>
        <v>-15.557732335332</v>
      </c>
      <c r="AH46" s="4">
        <f t="shared" si="25"/>
        <v>129.91754622230997</v>
      </c>
      <c r="AI46" s="4">
        <f t="shared" si="26"/>
        <v>192.59529080056646</v>
      </c>
      <c r="AJ46" s="4">
        <f t="shared" si="27"/>
        <v>-27.655540981925999</v>
      </c>
      <c r="AK46" s="4">
        <f t="shared" si="28"/>
        <v>-1134.9855938557621</v>
      </c>
      <c r="AL46" s="4">
        <f t="shared" si="29"/>
        <v>-5180.2641678431555</v>
      </c>
      <c r="AM46" s="4">
        <f t="shared" si="30"/>
        <v>-129.5492892929735</v>
      </c>
      <c r="AN46" s="4">
        <f t="shared" si="31"/>
        <v>676.3113482489199</v>
      </c>
      <c r="AO46" s="4">
        <f t="shared" si="32"/>
        <v>6075.5714911101377</v>
      </c>
      <c r="AP46" s="4">
        <f t="shared" si="33"/>
        <v>14791.346910176288</v>
      </c>
      <c r="AQ46" s="4">
        <f t="shared" si="34"/>
        <v>5.6882015478156708E-3</v>
      </c>
      <c r="AR46" s="4">
        <f t="shared" si="35"/>
        <v>-0.11765261099323555</v>
      </c>
      <c r="AS46" s="4">
        <f t="shared" si="36"/>
        <v>6.4439076127791551E-3</v>
      </c>
      <c r="AT46" s="4">
        <f t="shared" si="37"/>
        <v>1.2669593759009636</v>
      </c>
      <c r="AU46" s="4">
        <f t="shared" si="38"/>
        <v>0.38908349478252052</v>
      </c>
      <c r="AV46" s="4">
        <f t="shared" si="39"/>
        <v>-6.5553013254784978E-3</v>
      </c>
      <c r="AW46" s="4">
        <f t="shared" si="40"/>
        <v>-5.1601632123139662</v>
      </c>
      <c r="AX46" s="4">
        <f t="shared" si="41"/>
        <v>-6.4789762560289654</v>
      </c>
      <c r="AY46" s="4">
        <f t="shared" si="42"/>
        <v>9.5957827249011878</v>
      </c>
      <c r="AZ46" s="4">
        <f t="shared" si="43"/>
        <v>44.725603695937259</v>
      </c>
      <c r="BA46" s="4">
        <f t="shared" si="44"/>
        <v>-9.20664314640081E-2</v>
      </c>
      <c r="BB46" s="4">
        <f t="shared" si="45"/>
        <v>-6.197533479642809</v>
      </c>
      <c r="BC46" s="4">
        <f t="shared" si="46"/>
        <v>-2.2347084906991244</v>
      </c>
      <c r="BD46" s="4">
        <f t="shared" si="47"/>
        <v>27.966982985449533</v>
      </c>
      <c r="BE46" s="4">
        <f t="shared" si="48"/>
        <v>51.038972866563292</v>
      </c>
      <c r="BF46" s="4">
        <f t="shared" si="49"/>
        <v>-23.284000038425482</v>
      </c>
      <c r="BG46" s="4">
        <f t="shared" si="50"/>
        <v>-12.235816097447902</v>
      </c>
      <c r="BH46" s="4">
        <f t="shared" si="51"/>
        <v>-133.65273599373921</v>
      </c>
      <c r="BI46" s="4">
        <f t="shared" si="52"/>
        <v>-11.132765560842332</v>
      </c>
      <c r="BJ46" s="4">
        <f t="shared" si="53"/>
        <v>-189.68293825234767</v>
      </c>
      <c r="BK46" s="4">
        <f t="shared" si="54"/>
        <v>7.2045079888943681E-2</v>
      </c>
      <c r="BL46" s="4">
        <f t="shared" si="55"/>
        <v>5.9037530163019643</v>
      </c>
      <c r="BM46" s="4">
        <f t="shared" si="56"/>
        <v>8.8289738113203597</v>
      </c>
      <c r="BN46" s="4">
        <f t="shared" si="57"/>
        <v>-17.83208037147471</v>
      </c>
      <c r="BO46" s="4">
        <f t="shared" si="58"/>
        <v>-118.54814900255633</v>
      </c>
      <c r="BP46" s="4">
        <f t="shared" si="59"/>
        <v>-49.542941116957358</v>
      </c>
      <c r="BQ46" s="4">
        <f t="shared" si="60"/>
        <v>-30.13598558589015</v>
      </c>
      <c r="BR46" s="4">
        <f t="shared" si="61"/>
        <v>110.69395411741064</v>
      </c>
      <c r="BS46" s="4">
        <f t="shared" si="62"/>
        <v>621.29941328137488</v>
      </c>
      <c r="BT46" s="4">
        <f t="shared" si="63"/>
        <v>1679.647876761775</v>
      </c>
      <c r="BU46" s="4">
        <f t="shared" si="64"/>
        <v>15.125752091393185</v>
      </c>
      <c r="BV46" s="4">
        <f t="shared" si="65"/>
        <v>158.80683642284842</v>
      </c>
      <c r="BW46" s="4">
        <f t="shared" si="66"/>
        <v>-552.10598794627458</v>
      </c>
      <c r="BX46" s="4">
        <f t="shared" si="67"/>
        <v>-2071.5848929913122</v>
      </c>
      <c r="BY46" s="4">
        <f t="shared" si="68"/>
        <v>-4038.4853570724231</v>
      </c>
      <c r="BZ46" s="6">
        <f t="shared" si="69"/>
        <v>-0.2495030310610673</v>
      </c>
      <c r="CA46" s="7"/>
      <c r="CB46" s="6">
        <v>-0.24950180862106211</v>
      </c>
      <c r="CC46" s="6"/>
    </row>
    <row r="47" spans="1:81" x14ac:dyDescent="0.3">
      <c r="A47" s="4">
        <v>45</v>
      </c>
      <c r="B47" s="4">
        <v>24180535</v>
      </c>
      <c r="C47" s="4">
        <v>2.7050000000000001</v>
      </c>
      <c r="D47" s="4">
        <v>3.6850000000000001</v>
      </c>
      <c r="E47" s="4">
        <v>0.67600000000000005</v>
      </c>
      <c r="F47" s="4">
        <v>3.7370000000000001</v>
      </c>
      <c r="H47" s="6">
        <v>-2618.81325553337</v>
      </c>
      <c r="I47" s="4">
        <f t="shared" si="0"/>
        <v>125.5466296805</v>
      </c>
      <c r="J47" s="4">
        <f t="shared" si="1"/>
        <v>-1813.4926417850002</v>
      </c>
      <c r="K47" s="4">
        <f t="shared" si="2"/>
        <v>1601.3267816</v>
      </c>
      <c r="L47" s="4">
        <f t="shared" si="3"/>
        <v>12076.13837044</v>
      </c>
      <c r="M47" s="4">
        <f t="shared" si="4"/>
        <v>28.271966216460502</v>
      </c>
      <c r="N47" s="4">
        <f t="shared" si="5"/>
        <v>25.21599214686475</v>
      </c>
      <c r="O47" s="4">
        <f t="shared" si="6"/>
        <v>-125.86135888664001</v>
      </c>
      <c r="P47" s="4">
        <f t="shared" si="7"/>
        <v>-387.58820808221498</v>
      </c>
      <c r="Q47" s="4">
        <f t="shared" si="8"/>
        <v>-162.96370210793751</v>
      </c>
      <c r="R47" s="4">
        <f t="shared" si="9"/>
        <v>450.77371312116003</v>
      </c>
      <c r="S47" s="4">
        <f t="shared" si="10"/>
        <v>5826.5046567801155</v>
      </c>
      <c r="T47" s="4">
        <f t="shared" si="11"/>
        <v>-189.67736008457601</v>
      </c>
      <c r="U47" s="4">
        <f t="shared" si="12"/>
        <v>-5193.9305483057215</v>
      </c>
      <c r="V47" s="4">
        <f t="shared" si="13"/>
        <v>-20761.984632411302</v>
      </c>
      <c r="W47" s="4">
        <f t="shared" si="14"/>
        <v>-0.71623260702705949</v>
      </c>
      <c r="X47" s="4">
        <f t="shared" si="15"/>
        <v>3.5777047214880442</v>
      </c>
      <c r="Y47" s="4">
        <f t="shared" si="16"/>
        <v>2.9420021854963156</v>
      </c>
      <c r="Z47" s="4">
        <f t="shared" si="17"/>
        <v>-71.713609984512345</v>
      </c>
      <c r="AA47" s="4">
        <f t="shared" si="18"/>
        <v>8.5341919907668728</v>
      </c>
      <c r="AB47" s="4">
        <f t="shared" si="19"/>
        <v>-72.610661855739153</v>
      </c>
      <c r="AC47" s="4">
        <f t="shared" si="20"/>
        <v>1.2928358713908539</v>
      </c>
      <c r="AD47" s="4">
        <f t="shared" si="21"/>
        <v>101.42132148875315</v>
      </c>
      <c r="AE47" s="4">
        <f t="shared" si="22"/>
        <v>136.04157115400133</v>
      </c>
      <c r="AF47" s="4">
        <f t="shared" si="23"/>
        <v>451.25638153018753</v>
      </c>
      <c r="AG47" s="4">
        <f t="shared" si="24"/>
        <v>-21.662917825793791</v>
      </c>
      <c r="AH47" s="4">
        <f t="shared" si="25"/>
        <v>145.04897304435539</v>
      </c>
      <c r="AI47" s="4">
        <f t="shared" si="26"/>
        <v>244.60659073989189</v>
      </c>
      <c r="AJ47" s="4">
        <f t="shared" si="27"/>
        <v>-24.757409447412929</v>
      </c>
      <c r="AK47" s="4">
        <f t="shared" si="28"/>
        <v>-1155.8168775842946</v>
      </c>
      <c r="AL47" s="4">
        <f t="shared" si="29"/>
        <v>-6001.0359943824014</v>
      </c>
      <c r="AM47" s="4">
        <f t="shared" si="30"/>
        <v>-92.989576051909893</v>
      </c>
      <c r="AN47" s="4">
        <f t="shared" si="31"/>
        <v>552.23197527482796</v>
      </c>
      <c r="AO47" s="4">
        <f t="shared" si="32"/>
        <v>5643.3586549714646</v>
      </c>
      <c r="AP47" s="4">
        <f t="shared" si="33"/>
        <v>15629.096807641256</v>
      </c>
      <c r="AQ47" s="4">
        <f t="shared" si="34"/>
        <v>3.9510947822112381E-3</v>
      </c>
      <c r="AR47" s="4">
        <f t="shared" si="35"/>
        <v>-9.9961318494885709E-2</v>
      </c>
      <c r="AS47" s="4">
        <f t="shared" si="36"/>
        <v>4.3899128993264529E-3</v>
      </c>
      <c r="AT47" s="4">
        <f t="shared" si="37"/>
        <v>0.98184951461537651</v>
      </c>
      <c r="AU47" s="4">
        <f t="shared" si="38"/>
        <v>0.40435344602300971</v>
      </c>
      <c r="AV47" s="4">
        <f t="shared" si="39"/>
        <v>-5.4624464454395864E-3</v>
      </c>
      <c r="AW47" s="4">
        <f t="shared" si="40"/>
        <v>-4.8914048812286932</v>
      </c>
      <c r="AX47" s="4">
        <f t="shared" si="41"/>
        <v>-4.3288956084824077</v>
      </c>
      <c r="AY47" s="4">
        <f t="shared" si="42"/>
        <v>7.2933452427477272</v>
      </c>
      <c r="AZ47" s="4">
        <f t="shared" si="43"/>
        <v>38.670360379461876</v>
      </c>
      <c r="BA47" s="4">
        <f t="shared" si="44"/>
        <v>-0.11703279712431347</v>
      </c>
      <c r="BB47" s="4">
        <f t="shared" si="45"/>
        <v>-6.3168614062586688</v>
      </c>
      <c r="BC47" s="4">
        <f t="shared" si="46"/>
        <v>-2.591069056087667</v>
      </c>
      <c r="BD47" s="4">
        <f t="shared" si="47"/>
        <v>22.856213129553229</v>
      </c>
      <c r="BE47" s="4">
        <f t="shared" si="48"/>
        <v>47.45000106717039</v>
      </c>
      <c r="BF47" s="4">
        <f t="shared" si="49"/>
        <v>-24.624506400218312</v>
      </c>
      <c r="BG47" s="4">
        <f t="shared" si="50"/>
        <v>-8.0180321234940326</v>
      </c>
      <c r="BH47" s="4">
        <f t="shared" si="51"/>
        <v>-99.629590728507239</v>
      </c>
      <c r="BI47" s="4">
        <f t="shared" si="52"/>
        <v>-9.4403739549663541</v>
      </c>
      <c r="BJ47" s="4">
        <f t="shared" si="53"/>
        <v>-182.97427904752175</v>
      </c>
      <c r="BK47" s="4">
        <f t="shared" si="54"/>
        <v>0.11202076560931877</v>
      </c>
      <c r="BL47" s="4">
        <f t="shared" si="55"/>
        <v>7.3603519540520663</v>
      </c>
      <c r="BM47" s="4">
        <f t="shared" si="56"/>
        <v>12.521497514962274</v>
      </c>
      <c r="BN47" s="4">
        <f t="shared" si="57"/>
        <v>-17.825782621083601</v>
      </c>
      <c r="BO47" s="4">
        <f t="shared" si="58"/>
        <v>-134.80841805503042</v>
      </c>
      <c r="BP47" s="4">
        <f t="shared" si="59"/>
        <v>-64.08843429469502</v>
      </c>
      <c r="BQ47" s="4">
        <f t="shared" si="60"/>
        <v>-24.155063567152514</v>
      </c>
      <c r="BR47" s="4">
        <f t="shared" si="61"/>
        <v>100.93047758578561</v>
      </c>
      <c r="BS47" s="4">
        <f t="shared" si="62"/>
        <v>644.42890562869241</v>
      </c>
      <c r="BT47" s="4">
        <f t="shared" si="63"/>
        <v>1981.8371079626293</v>
      </c>
      <c r="BU47" s="4">
        <f t="shared" si="64"/>
        <v>9.7211121913720628</v>
      </c>
      <c r="BV47" s="4">
        <f t="shared" si="65"/>
        <v>116.1030993559787</v>
      </c>
      <c r="BW47" s="4">
        <f t="shared" si="66"/>
        <v>-459.16916751758828</v>
      </c>
      <c r="BX47" s="4">
        <f t="shared" si="67"/>
        <v>-1959.8761947243127</v>
      </c>
      <c r="BY47" s="4">
        <f t="shared" si="68"/>
        <v>-4346.3035732562757</v>
      </c>
      <c r="BZ47" s="6">
        <f t="shared" si="69"/>
        <v>-1.0129333955101174</v>
      </c>
      <c r="CA47" s="7"/>
      <c r="CB47" s="6">
        <v>-1.01293243530472</v>
      </c>
      <c r="CC47" s="6"/>
    </row>
    <row r="48" spans="1:81" x14ac:dyDescent="0.3">
      <c r="A48" s="4">
        <v>46</v>
      </c>
      <c r="B48" s="4">
        <v>25269972</v>
      </c>
      <c r="C48" s="4">
        <v>5.3440000000000003</v>
      </c>
      <c r="D48" s="4">
        <v>5.7140000000000004</v>
      </c>
      <c r="E48" s="4">
        <v>0.63</v>
      </c>
      <c r="F48" s="4">
        <v>3.9870000000000001</v>
      </c>
      <c r="H48" s="6">
        <v>-2618.81325553337</v>
      </c>
      <c r="I48" s="4">
        <f t="shared" si="0"/>
        <v>248.03001442240003</v>
      </c>
      <c r="J48" s="4">
        <f t="shared" si="1"/>
        <v>-2812.020883354</v>
      </c>
      <c r="K48" s="4">
        <f t="shared" si="2"/>
        <v>1492.360758</v>
      </c>
      <c r="L48" s="4">
        <f t="shared" si="3"/>
        <v>12884.014900440001</v>
      </c>
      <c r="M48" s="4">
        <f t="shared" si="4"/>
        <v>110.34543555479554</v>
      </c>
      <c r="N48" s="4">
        <f t="shared" si="5"/>
        <v>77.246353002824321</v>
      </c>
      <c r="O48" s="4">
        <f t="shared" si="6"/>
        <v>-231.73170120576</v>
      </c>
      <c r="P48" s="4">
        <f t="shared" si="7"/>
        <v>-816.94510240291208</v>
      </c>
      <c r="Q48" s="4">
        <f t="shared" si="8"/>
        <v>-391.82881417967002</v>
      </c>
      <c r="R48" s="4">
        <f t="shared" si="9"/>
        <v>651.41113741452011</v>
      </c>
      <c r="S48" s="4">
        <f t="shared" si="10"/>
        <v>9639.0443735625067</v>
      </c>
      <c r="T48" s="4">
        <f t="shared" si="11"/>
        <v>-164.74157114940002</v>
      </c>
      <c r="U48" s="4">
        <f t="shared" si="12"/>
        <v>-5164.3198158111009</v>
      </c>
      <c r="V48" s="4">
        <f t="shared" si="13"/>
        <v>-23632.797891111299</v>
      </c>
      <c r="W48" s="4">
        <f t="shared" si="14"/>
        <v>-5.5227022424285197</v>
      </c>
      <c r="X48" s="4">
        <f t="shared" si="15"/>
        <v>21.652377888078604</v>
      </c>
      <c r="Y48" s="4">
        <f t="shared" si="16"/>
        <v>10.701267113234074</v>
      </c>
      <c r="Z48" s="4">
        <f t="shared" si="17"/>
        <v>-298.6228822148525</v>
      </c>
      <c r="AA48" s="4">
        <f t="shared" si="18"/>
        <v>40.538444141943536</v>
      </c>
      <c r="AB48" s="4">
        <f t="shared" si="19"/>
        <v>-207.29850631961187</v>
      </c>
      <c r="AC48" s="4">
        <f t="shared" si="20"/>
        <v>4.2254061038836221</v>
      </c>
      <c r="AD48" s="4">
        <f t="shared" si="21"/>
        <v>174.02680703483713</v>
      </c>
      <c r="AE48" s="4">
        <f t="shared" si="22"/>
        <v>267.23159901387334</v>
      </c>
      <c r="AF48" s="4">
        <f t="shared" si="23"/>
        <v>1014.7727869246273</v>
      </c>
      <c r="AG48" s="4">
        <f t="shared" si="24"/>
        <v>-80.765369417408237</v>
      </c>
      <c r="AH48" s="4">
        <f t="shared" si="25"/>
        <v>325.02292886927859</v>
      </c>
      <c r="AI48" s="4">
        <f t="shared" si="26"/>
        <v>627.47550983406518</v>
      </c>
      <c r="AJ48" s="4">
        <f t="shared" si="27"/>
        <v>-33.342307319674084</v>
      </c>
      <c r="AK48" s="4">
        <f t="shared" si="28"/>
        <v>-1782.004379564188</v>
      </c>
      <c r="AL48" s="4">
        <f t="shared" si="29"/>
        <v>-10591.933639398176</v>
      </c>
      <c r="AM48" s="4">
        <f t="shared" si="30"/>
        <v>-75.268944901836008</v>
      </c>
      <c r="AN48" s="4">
        <f t="shared" si="31"/>
        <v>511.72000368143131</v>
      </c>
      <c r="AO48" s="4">
        <f t="shared" si="32"/>
        <v>5986.5660878928593</v>
      </c>
      <c r="AP48" s="4">
        <f t="shared" si="33"/>
        <v>18980.309707728848</v>
      </c>
      <c r="AQ48" s="4">
        <f t="shared" si="34"/>
        <v>6.0188589809882731E-2</v>
      </c>
      <c r="AR48" s="4">
        <f t="shared" si="35"/>
        <v>-1.1951770902687691</v>
      </c>
      <c r="AS48" s="4">
        <f t="shared" si="36"/>
        <v>3.1546217771469785E-2</v>
      </c>
      <c r="AT48" s="4">
        <f t="shared" si="37"/>
        <v>8.0772887344888691</v>
      </c>
      <c r="AU48" s="4">
        <f t="shared" si="38"/>
        <v>3.7945912104208115</v>
      </c>
      <c r="AV48" s="4">
        <f t="shared" si="39"/>
        <v>-3.0809322591312197E-2</v>
      </c>
      <c r="AW48" s="4">
        <f t="shared" si="40"/>
        <v>-31.583325362973032</v>
      </c>
      <c r="AX48" s="4">
        <f t="shared" si="41"/>
        <v>-14.674495519552687</v>
      </c>
      <c r="AY48" s="4">
        <f t="shared" si="42"/>
        <v>28.303629035915534</v>
      </c>
      <c r="AZ48" s="4">
        <f t="shared" si="43"/>
        <v>171.79987957584808</v>
      </c>
      <c r="BA48" s="4">
        <f t="shared" si="44"/>
        <v>-0.86201534424693882</v>
      </c>
      <c r="BB48" s="4">
        <f t="shared" si="45"/>
        <v>-27.964037103647094</v>
      </c>
      <c r="BC48" s="4">
        <f t="shared" si="46"/>
        <v>-13.131271877621154</v>
      </c>
      <c r="BD48" s="4">
        <f t="shared" si="47"/>
        <v>60.812647081982384</v>
      </c>
      <c r="BE48" s="4">
        <f t="shared" si="48"/>
        <v>144.52904790124961</v>
      </c>
      <c r="BF48" s="4">
        <f t="shared" si="49"/>
        <v>-85.864912817460294</v>
      </c>
      <c r="BG48" s="4">
        <f t="shared" si="50"/>
        <v>-12.821786246646337</v>
      </c>
      <c r="BH48" s="4">
        <f t="shared" si="51"/>
        <v>-182.38888616138865</v>
      </c>
      <c r="BI48" s="4">
        <f t="shared" si="52"/>
        <v>-19.784656168954083</v>
      </c>
      <c r="BJ48" s="4">
        <f t="shared" si="53"/>
        <v>-438.99405416217661</v>
      </c>
      <c r="BK48" s="4">
        <f t="shared" si="54"/>
        <v>0.64760398417762655</v>
      </c>
      <c r="BL48" s="4">
        <f t="shared" si="55"/>
        <v>25.574118123943791</v>
      </c>
      <c r="BM48" s="4">
        <f t="shared" si="56"/>
        <v>49.806685436746157</v>
      </c>
      <c r="BN48" s="4">
        <f t="shared" si="57"/>
        <v>-37.225608097579574</v>
      </c>
      <c r="BO48" s="4">
        <f t="shared" si="58"/>
        <v>-322.2845537428276</v>
      </c>
      <c r="BP48" s="4">
        <f t="shared" si="59"/>
        <v>-175.40074152522948</v>
      </c>
      <c r="BQ48" s="4">
        <f t="shared" si="60"/>
        <v>-30.317437372737984</v>
      </c>
      <c r="BR48" s="4">
        <f t="shared" si="61"/>
        <v>145.02267678880258</v>
      </c>
      <c r="BS48" s="4">
        <f t="shared" si="62"/>
        <v>1060.0293381824965</v>
      </c>
      <c r="BT48" s="4">
        <f t="shared" si="63"/>
        <v>3731.9869220136429</v>
      </c>
      <c r="BU48" s="4">
        <f t="shared" si="64"/>
        <v>7.3331635216074487</v>
      </c>
      <c r="BV48" s="4">
        <f t="shared" si="65"/>
        <v>100.26480457516698</v>
      </c>
      <c r="BW48" s="4">
        <f t="shared" si="66"/>
        <v>-453.94862067620858</v>
      </c>
      <c r="BX48" s="4">
        <f t="shared" si="67"/>
        <v>-2218.1550733252238</v>
      </c>
      <c r="BY48" s="4">
        <f t="shared" si="68"/>
        <v>-5631.3511369766056</v>
      </c>
      <c r="BZ48" s="6">
        <f t="shared" si="69"/>
        <v>-1.1663354215452273</v>
      </c>
      <c r="CA48" s="7"/>
      <c r="CB48" s="6">
        <v>-1.166340317138292</v>
      </c>
      <c r="CC48" s="6"/>
    </row>
    <row r="49" spans="1:81" x14ac:dyDescent="0.3">
      <c r="A49" s="4">
        <v>47</v>
      </c>
      <c r="B49" s="4">
        <v>44457013</v>
      </c>
      <c r="C49" s="4">
        <v>4.45</v>
      </c>
      <c r="D49" s="4">
        <v>4.0709999999999997</v>
      </c>
      <c r="E49" s="4">
        <v>0.45500000000000002</v>
      </c>
      <c r="F49" s="4">
        <v>3.536</v>
      </c>
      <c r="H49" s="6">
        <v>-2618.81325553337</v>
      </c>
      <c r="I49" s="4">
        <f t="shared" si="0"/>
        <v>206.53696934500002</v>
      </c>
      <c r="J49" s="4">
        <f t="shared" si="1"/>
        <v>-2003.4541505309999</v>
      </c>
      <c r="K49" s="4">
        <f t="shared" si="2"/>
        <v>1077.8161029999999</v>
      </c>
      <c r="L49" s="4">
        <f t="shared" si="3"/>
        <v>11426.60564032</v>
      </c>
      <c r="M49" s="4">
        <f t="shared" si="4"/>
        <v>76.514103888050016</v>
      </c>
      <c r="N49" s="4">
        <f t="shared" si="5"/>
        <v>45.828159113656497</v>
      </c>
      <c r="O49" s="4">
        <f t="shared" si="6"/>
        <v>-139.363761173</v>
      </c>
      <c r="P49" s="4">
        <f t="shared" si="7"/>
        <v>-603.32657556079994</v>
      </c>
      <c r="Q49" s="4">
        <f t="shared" si="8"/>
        <v>-198.89236068675746</v>
      </c>
      <c r="R49" s="4">
        <f t="shared" si="9"/>
        <v>335.18678903072993</v>
      </c>
      <c r="S49" s="4">
        <f t="shared" si="10"/>
        <v>6090.6110568095519</v>
      </c>
      <c r="T49" s="4">
        <f t="shared" si="11"/>
        <v>-85.930017050149999</v>
      </c>
      <c r="U49" s="4">
        <f t="shared" si="12"/>
        <v>-3307.8819119528002</v>
      </c>
      <c r="V49" s="4">
        <f t="shared" si="13"/>
        <v>-18588.6214056192</v>
      </c>
      <c r="W49" s="4">
        <f t="shared" si="14"/>
        <v>-3.1888369473468754</v>
      </c>
      <c r="X49" s="4">
        <f t="shared" si="15"/>
        <v>10.696792895898399</v>
      </c>
      <c r="Y49" s="4">
        <f t="shared" si="16"/>
        <v>5.3591162122168132</v>
      </c>
      <c r="Z49" s="4">
        <f t="shared" si="17"/>
        <v>-183.64378131796843</v>
      </c>
      <c r="AA49" s="4">
        <f t="shared" si="18"/>
        <v>17.134931425616504</v>
      </c>
      <c r="AB49" s="4">
        <f t="shared" si="19"/>
        <v>-88.822184054569874</v>
      </c>
      <c r="AC49" s="4">
        <f t="shared" si="20"/>
        <v>2.2232530862888988</v>
      </c>
      <c r="AD49" s="4">
        <f t="shared" si="21"/>
        <v>75.587748248034757</v>
      </c>
      <c r="AE49" s="4">
        <f t="shared" si="22"/>
        <v>142.53392340194281</v>
      </c>
      <c r="AF49" s="4">
        <f t="shared" si="23"/>
        <v>664.65215184271494</v>
      </c>
      <c r="AG49" s="4">
        <f t="shared" si="24"/>
        <v>-29.208401032028995</v>
      </c>
      <c r="AH49" s="4">
        <f t="shared" si="25"/>
        <v>119.15343843900666</v>
      </c>
      <c r="AI49" s="4">
        <f t="shared" si="26"/>
        <v>282.47793741540625</v>
      </c>
      <c r="AJ49" s="4">
        <f t="shared" si="27"/>
        <v>-12.390767582777221</v>
      </c>
      <c r="AK49" s="4">
        <f t="shared" si="28"/>
        <v>-813.21709819380567</v>
      </c>
      <c r="AL49" s="4">
        <f t="shared" si="29"/>
        <v>-5935.6482823092047</v>
      </c>
      <c r="AM49" s="4">
        <f t="shared" si="30"/>
        <v>-28.354916315043504</v>
      </c>
      <c r="AN49" s="4">
        <f t="shared" si="31"/>
        <v>236.72281108042839</v>
      </c>
      <c r="AO49" s="4">
        <f t="shared" si="32"/>
        <v>3400.7966939369121</v>
      </c>
      <c r="AP49" s="4">
        <f t="shared" si="33"/>
        <v>13240.40765596569</v>
      </c>
      <c r="AQ49" s="4">
        <f t="shared" si="34"/>
        <v>2.8939326136479517E-2</v>
      </c>
      <c r="AR49" s="4">
        <f t="shared" si="35"/>
        <v>-0.49167011400821514</v>
      </c>
      <c r="AS49" s="4">
        <f t="shared" si="36"/>
        <v>1.3155241610171287E-2</v>
      </c>
      <c r="AT49" s="4">
        <f t="shared" si="37"/>
        <v>4.1363026941514667</v>
      </c>
      <c r="AU49" s="4">
        <f t="shared" si="38"/>
        <v>1.3355921324459046</v>
      </c>
      <c r="AV49" s="4">
        <f t="shared" si="39"/>
        <v>-1.0992614199578737E-2</v>
      </c>
      <c r="AW49" s="4">
        <f t="shared" si="40"/>
        <v>-13.837953419075086</v>
      </c>
      <c r="AX49" s="4">
        <f t="shared" si="41"/>
        <v>-5.3075243757290309</v>
      </c>
      <c r="AY49" s="4">
        <f t="shared" si="42"/>
        <v>12.5708925537207</v>
      </c>
      <c r="AZ49" s="4">
        <f t="shared" si="43"/>
        <v>93.700523970929595</v>
      </c>
      <c r="BA49" s="4">
        <f t="shared" si="44"/>
        <v>-0.25959191190026587</v>
      </c>
      <c r="BB49" s="4">
        <f t="shared" si="45"/>
        <v>-8.5366212079741768</v>
      </c>
      <c r="BC49" s="4">
        <f t="shared" si="46"/>
        <v>-4.9225270142429318</v>
      </c>
      <c r="BD49" s="4">
        <f t="shared" si="47"/>
        <v>18.81871782178111</v>
      </c>
      <c r="BE49" s="4">
        <f t="shared" si="48"/>
        <v>54.922011843544141</v>
      </c>
      <c r="BF49" s="4">
        <f t="shared" si="49"/>
        <v>-40.068418622629771</v>
      </c>
      <c r="BG49" s="4">
        <f t="shared" si="50"/>
        <v>-4.0221164059572123</v>
      </c>
      <c r="BH49" s="4">
        <f t="shared" si="51"/>
        <v>-70.258625254589774</v>
      </c>
      <c r="BI49" s="4">
        <f t="shared" si="52"/>
        <v>-9.3589032415710953</v>
      </c>
      <c r="BJ49" s="4">
        <f t="shared" si="53"/>
        <v>-255.00591934485377</v>
      </c>
      <c r="BK49" s="4">
        <f t="shared" si="54"/>
        <v>0.16686028355872062</v>
      </c>
      <c r="BL49" s="4">
        <f t="shared" si="55"/>
        <v>6.679656245621274</v>
      </c>
      <c r="BM49" s="4">
        <f t="shared" si="56"/>
        <v>15.974830569850608</v>
      </c>
      <c r="BN49" s="4">
        <f t="shared" si="57"/>
        <v>-9.8561028767903807</v>
      </c>
      <c r="BO49" s="4">
        <f t="shared" si="58"/>
        <v>-104.78475250598632</v>
      </c>
      <c r="BP49" s="4">
        <f t="shared" si="59"/>
        <v>-70.030172978689379</v>
      </c>
      <c r="BQ49" s="4">
        <f t="shared" si="60"/>
        <v>-8.1370296230242705</v>
      </c>
      <c r="BR49" s="4">
        <f t="shared" si="61"/>
        <v>47.797424775605741</v>
      </c>
      <c r="BS49" s="4">
        <f t="shared" si="62"/>
        <v>429.02405185381468</v>
      </c>
      <c r="BT49" s="4">
        <f t="shared" si="63"/>
        <v>1854.8083466206278</v>
      </c>
      <c r="BU49" s="4">
        <f t="shared" si="64"/>
        <v>1.9951463509814658</v>
      </c>
      <c r="BV49" s="4">
        <f t="shared" si="65"/>
        <v>33.498632158777248</v>
      </c>
      <c r="BW49" s="4">
        <f t="shared" si="66"/>
        <v>-186.24320496849177</v>
      </c>
      <c r="BX49" s="4">
        <f t="shared" si="67"/>
        <v>-1117.5341775938723</v>
      </c>
      <c r="BY49" s="4">
        <f t="shared" si="68"/>
        <v>-3483.9883240177001</v>
      </c>
      <c r="BZ49" s="6">
        <f t="shared" si="69"/>
        <v>-1.0959740508055802</v>
      </c>
      <c r="CA49" s="7"/>
      <c r="CB49" s="6">
        <v>-1.095972828051345</v>
      </c>
      <c r="CC49" s="6"/>
    </row>
    <row r="50" spans="1:81" x14ac:dyDescent="0.3">
      <c r="A50" s="4">
        <v>48</v>
      </c>
      <c r="B50" s="4">
        <v>122187921</v>
      </c>
      <c r="C50" s="4">
        <v>7.9850000000000003</v>
      </c>
      <c r="D50" s="4">
        <v>4.024</v>
      </c>
      <c r="E50" s="4">
        <v>0.38100000000000001</v>
      </c>
      <c r="F50" s="4">
        <v>2.782</v>
      </c>
      <c r="H50" s="6">
        <v>-2618.81325553337</v>
      </c>
      <c r="I50" s="4">
        <f t="shared" si="0"/>
        <v>370.6062247685</v>
      </c>
      <c r="J50" s="4">
        <f t="shared" si="1"/>
        <v>-1980.3241222640002</v>
      </c>
      <c r="K50" s="4">
        <f t="shared" si="2"/>
        <v>902.52293459999999</v>
      </c>
      <c r="L50" s="4">
        <f t="shared" si="3"/>
        <v>8990.0500258400007</v>
      </c>
      <c r="M50" s="4">
        <f t="shared" si="4"/>
        <v>246.36063525188453</v>
      </c>
      <c r="N50" s="4">
        <f t="shared" si="5"/>
        <v>81.283836094862792</v>
      </c>
      <c r="O50" s="4">
        <f t="shared" si="6"/>
        <v>-209.40080511677999</v>
      </c>
      <c r="P50" s="4">
        <f t="shared" si="7"/>
        <v>-851.75018097533007</v>
      </c>
      <c r="Q50" s="4">
        <f t="shared" si="8"/>
        <v>-194.32641639151998</v>
      </c>
      <c r="R50" s="4">
        <f t="shared" si="9"/>
        <v>277.43250408638397</v>
      </c>
      <c r="S50" s="4">
        <f t="shared" si="10"/>
        <v>4736.5552283518564</v>
      </c>
      <c r="T50" s="4">
        <f t="shared" si="11"/>
        <v>-60.252081656886006</v>
      </c>
      <c r="U50" s="4">
        <f t="shared" si="12"/>
        <v>-2179.2569797120204</v>
      </c>
      <c r="V50" s="4">
        <f t="shared" si="13"/>
        <v>-11506.3325298948</v>
      </c>
      <c r="W50" s="4">
        <f t="shared" si="14"/>
        <v>-18.423707999533963</v>
      </c>
      <c r="X50" s="4">
        <f t="shared" si="15"/>
        <v>34.043976027050412</v>
      </c>
      <c r="Y50" s="4">
        <f t="shared" si="16"/>
        <v>14.448959468430639</v>
      </c>
      <c r="Z50" s="4">
        <f t="shared" si="17"/>
        <v>-465.21200657419871</v>
      </c>
      <c r="AA50" s="4">
        <f t="shared" si="18"/>
        <v>30.040767185075428</v>
      </c>
      <c r="AB50" s="4">
        <f t="shared" si="19"/>
        <v>-131.91883461362684</v>
      </c>
      <c r="AC50" s="4">
        <f t="shared" si="20"/>
        <v>3.1024554387379508</v>
      </c>
      <c r="AD50" s="4">
        <f t="shared" si="21"/>
        <v>95.102837648508824</v>
      </c>
      <c r="AE50" s="4">
        <f t="shared" si="22"/>
        <v>168.49677678357574</v>
      </c>
      <c r="AF50" s="4">
        <f t="shared" si="23"/>
        <v>738.24253351202856</v>
      </c>
      <c r="AG50" s="4">
        <f t="shared" si="24"/>
        <v>-28.208396004884772</v>
      </c>
      <c r="AH50" s="4">
        <f t="shared" si="25"/>
        <v>97.484124970047233</v>
      </c>
      <c r="AI50" s="4">
        <f t="shared" si="26"/>
        <v>217.14165425861535</v>
      </c>
      <c r="AJ50" s="4">
        <f t="shared" si="27"/>
        <v>-8.5878062666240833</v>
      </c>
      <c r="AK50" s="4">
        <f t="shared" si="28"/>
        <v>-529.5681036317593</v>
      </c>
      <c r="AL50" s="4">
        <f t="shared" si="29"/>
        <v>-3631.7401486537319</v>
      </c>
      <c r="AM50" s="4">
        <f t="shared" si="30"/>
        <v>-16.64826985907111</v>
      </c>
      <c r="AN50" s="4">
        <f t="shared" si="31"/>
        <v>130.59066601004886</v>
      </c>
      <c r="AO50" s="4">
        <f t="shared" si="32"/>
        <v>1762.7226598355321</v>
      </c>
      <c r="AP50" s="4">
        <f t="shared" si="33"/>
        <v>6448.1623674145667</v>
      </c>
      <c r="AQ50" s="4">
        <f t="shared" si="34"/>
        <v>0.30001851158591158</v>
      </c>
      <c r="AR50" s="4">
        <f t="shared" si="35"/>
        <v>-2.8078597332912865</v>
      </c>
      <c r="AS50" s="4">
        <f t="shared" si="36"/>
        <v>6.3643951524537737E-2</v>
      </c>
      <c r="AT50" s="4">
        <f t="shared" si="37"/>
        <v>18.801907453096906</v>
      </c>
      <c r="AU50" s="4">
        <f t="shared" si="38"/>
        <v>4.2016261795077074</v>
      </c>
      <c r="AV50" s="4">
        <f t="shared" si="39"/>
        <v>-2.9295522871063292E-2</v>
      </c>
      <c r="AW50" s="4">
        <f t="shared" si="40"/>
        <v>-34.650014631136798</v>
      </c>
      <c r="AX50" s="4">
        <f t="shared" si="41"/>
        <v>-11.982542400837785</v>
      </c>
      <c r="AY50" s="4">
        <f t="shared" si="42"/>
        <v>26.665785524295305</v>
      </c>
      <c r="AZ50" s="4">
        <f t="shared" si="43"/>
        <v>186.75041564075482</v>
      </c>
      <c r="BA50" s="4">
        <f t="shared" si="44"/>
        <v>-0.44985927141040161</v>
      </c>
      <c r="BB50" s="4">
        <f t="shared" si="45"/>
        <v>-12.532226599990199</v>
      </c>
      <c r="BC50" s="4">
        <f t="shared" si="46"/>
        <v>-6.7898726114557864</v>
      </c>
      <c r="BD50" s="4">
        <f t="shared" si="47"/>
        <v>23.403939536671356</v>
      </c>
      <c r="BE50" s="4">
        <f t="shared" si="48"/>
        <v>64.176594088001778</v>
      </c>
      <c r="BF50" s="4">
        <f t="shared" si="49"/>
        <v>-43.990988438071646</v>
      </c>
      <c r="BG50" s="4">
        <f t="shared" si="50"/>
        <v>-4.2375055703998221</v>
      </c>
      <c r="BH50" s="4">
        <f t="shared" si="51"/>
        <v>-69.548310532685932</v>
      </c>
      <c r="BI50" s="4">
        <f t="shared" si="52"/>
        <v>-8.7044870684111277</v>
      </c>
      <c r="BJ50" s="4">
        <f t="shared" si="53"/>
        <v>-222.84340157156592</v>
      </c>
      <c r="BK50" s="4">
        <f t="shared" si="54"/>
        <v>0.1592870451426914</v>
      </c>
      <c r="BL50" s="4">
        <f t="shared" si="55"/>
        <v>5.401797518593451</v>
      </c>
      <c r="BM50" s="4">
        <f t="shared" si="56"/>
        <v>12.138128728945167</v>
      </c>
      <c r="BN50" s="4">
        <f t="shared" si="57"/>
        <v>-6.7522128691610437</v>
      </c>
      <c r="BO50" s="4">
        <f t="shared" si="58"/>
        <v>-67.448186883921309</v>
      </c>
      <c r="BP50" s="4">
        <f t="shared" si="59"/>
        <v>-42.353438732467701</v>
      </c>
      <c r="BQ50" s="4">
        <f t="shared" si="60"/>
        <v>-4.7224079766186682</v>
      </c>
      <c r="BR50" s="4">
        <f t="shared" si="61"/>
        <v>26.063539597920709</v>
      </c>
      <c r="BS50" s="4">
        <f t="shared" si="62"/>
        <v>219.80715619306989</v>
      </c>
      <c r="BT50" s="4">
        <f t="shared" si="63"/>
        <v>892.87470400959762</v>
      </c>
      <c r="BU50" s="4">
        <f t="shared" si="64"/>
        <v>0.98090980184329857</v>
      </c>
      <c r="BV50" s="4">
        <f t="shared" si="65"/>
        <v>15.474359434896009</v>
      </c>
      <c r="BW50" s="4">
        <f t="shared" si="66"/>
        <v>-80.83460738156937</v>
      </c>
      <c r="BX50" s="4">
        <f t="shared" si="67"/>
        <v>-455.73145080158116</v>
      </c>
      <c r="BY50" s="4">
        <f t="shared" si="68"/>
        <v>-1334.9228535411462</v>
      </c>
      <c r="BZ50" s="6">
        <f t="shared" si="69"/>
        <v>-0.44018652557679161</v>
      </c>
      <c r="CA50" s="7"/>
      <c r="CB50" s="6">
        <v>-0.44018563217741757</v>
      </c>
      <c r="CC50" s="6"/>
    </row>
    <row r="51" spans="1:81" x14ac:dyDescent="0.3">
      <c r="A51" s="4">
        <v>49</v>
      </c>
      <c r="B51" s="4">
        <v>46225046</v>
      </c>
      <c r="C51" s="4">
        <v>5.3470000000000004</v>
      </c>
      <c r="D51" s="4">
        <v>3.8639999999999999</v>
      </c>
      <c r="E51" s="4">
        <v>0.61</v>
      </c>
      <c r="F51" s="4">
        <v>3.472</v>
      </c>
      <c r="H51" s="6">
        <v>-2618.81325553337</v>
      </c>
      <c r="I51" s="4">
        <f t="shared" si="0"/>
        <v>248.16925282870002</v>
      </c>
      <c r="J51" s="4">
        <f t="shared" si="1"/>
        <v>-1901.5836005040001</v>
      </c>
      <c r="K51" s="4">
        <f t="shared" si="2"/>
        <v>1444.9842259999998</v>
      </c>
      <c r="L51" s="4">
        <f t="shared" si="3"/>
        <v>11219.78924864</v>
      </c>
      <c r="M51" s="4">
        <f t="shared" si="4"/>
        <v>110.4693611628754</v>
      </c>
      <c r="N51" s="4">
        <f t="shared" si="5"/>
        <v>52.265920166522157</v>
      </c>
      <c r="O51" s="4">
        <f t="shared" si="6"/>
        <v>-224.50109836036</v>
      </c>
      <c r="P51" s="4">
        <f t="shared" si="7"/>
        <v>-711.819840659536</v>
      </c>
      <c r="Q51" s="4">
        <f t="shared" si="8"/>
        <v>-179.18024794991999</v>
      </c>
      <c r="R51" s="4">
        <f t="shared" si="9"/>
        <v>426.52191146543993</v>
      </c>
      <c r="S51" s="4">
        <f t="shared" si="10"/>
        <v>5676.2869516335359</v>
      </c>
      <c r="T51" s="4">
        <f t="shared" si="11"/>
        <v>-154.44781714459998</v>
      </c>
      <c r="U51" s="4">
        <f t="shared" si="12"/>
        <v>-4354.4759453552006</v>
      </c>
      <c r="V51" s="4">
        <f t="shared" si="13"/>
        <v>-17921.819646796797</v>
      </c>
      <c r="W51" s="4">
        <f t="shared" si="14"/>
        <v>-5.53200842286968</v>
      </c>
      <c r="X51" s="4">
        <f t="shared" si="15"/>
        <v>14.658514095672444</v>
      </c>
      <c r="Y51" s="4">
        <f t="shared" si="16"/>
        <v>10.37318108356768</v>
      </c>
      <c r="Z51" s="4">
        <f t="shared" si="17"/>
        <v>-260.34187775016727</v>
      </c>
      <c r="AA51" s="4">
        <f t="shared" si="18"/>
        <v>18.548319774543113</v>
      </c>
      <c r="AB51" s="4">
        <f t="shared" si="19"/>
        <v>-135.80822551145724</v>
      </c>
      <c r="AC51" s="4">
        <f t="shared" si="20"/>
        <v>2.489674393155946</v>
      </c>
      <c r="AD51" s="4">
        <f t="shared" si="21"/>
        <v>163.24446231205556</v>
      </c>
      <c r="AE51" s="4">
        <f t="shared" si="22"/>
        <v>225.45211371607581</v>
      </c>
      <c r="AF51" s="4">
        <f t="shared" si="23"/>
        <v>769.98011335298838</v>
      </c>
      <c r="AG51" s="4">
        <f t="shared" si="24"/>
        <v>-24.975594172923255</v>
      </c>
      <c r="AH51" s="4">
        <f t="shared" si="25"/>
        <v>143.91201315542284</v>
      </c>
      <c r="AI51" s="4">
        <f t="shared" si="26"/>
        <v>249.87570033892192</v>
      </c>
      <c r="AJ51" s="4">
        <f t="shared" si="27"/>
        <v>-21.13835089783872</v>
      </c>
      <c r="AK51" s="4">
        <f t="shared" si="28"/>
        <v>-1016.0811981845144</v>
      </c>
      <c r="AL51" s="4">
        <f t="shared" si="29"/>
        <v>-5431.7415140852609</v>
      </c>
      <c r="AM51" s="4">
        <f t="shared" si="30"/>
        <v>-68.325636311427999</v>
      </c>
      <c r="AN51" s="4">
        <f t="shared" si="31"/>
        <v>417.77692240279515</v>
      </c>
      <c r="AO51" s="4">
        <f t="shared" si="32"/>
        <v>4395.7605636088529</v>
      </c>
      <c r="AP51" s="4">
        <f t="shared" si="33"/>
        <v>12534.405406578213</v>
      </c>
      <c r="AQ51" s="4">
        <f t="shared" si="34"/>
        <v>6.0323857680102302E-2</v>
      </c>
      <c r="AR51" s="4">
        <f t="shared" si="35"/>
        <v>-0.80958107119436318</v>
      </c>
      <c r="AS51" s="4">
        <f t="shared" si="36"/>
        <v>3.0596220807825394E-2</v>
      </c>
      <c r="AT51" s="4">
        <f t="shared" si="37"/>
        <v>7.0457996937826755</v>
      </c>
      <c r="AU51" s="4">
        <f t="shared" si="38"/>
        <v>1.7371856333733133</v>
      </c>
      <c r="AV51" s="4">
        <f t="shared" si="39"/>
        <v>-2.0195554693371476E-2</v>
      </c>
      <c r="AW51" s="4">
        <f t="shared" si="40"/>
        <v>-18.619828910745767</v>
      </c>
      <c r="AX51" s="4">
        <f t="shared" si="41"/>
        <v>-13.773021339273269</v>
      </c>
      <c r="AY51" s="4">
        <f t="shared" si="42"/>
        <v>23.891991917041643</v>
      </c>
      <c r="AZ51" s="4">
        <f t="shared" si="43"/>
        <v>130.42993745550487</v>
      </c>
      <c r="BA51" s="4">
        <f t="shared" si="44"/>
        <v>-0.26671618849457512</v>
      </c>
      <c r="BB51" s="4">
        <f t="shared" si="45"/>
        <v>-12.38872615593686</v>
      </c>
      <c r="BC51" s="4">
        <f t="shared" si="46"/>
        <v>-5.232120916801521</v>
      </c>
      <c r="BD51" s="4">
        <f t="shared" si="47"/>
        <v>38.575636035470666</v>
      </c>
      <c r="BE51" s="4">
        <f t="shared" si="48"/>
        <v>82.455290189495557</v>
      </c>
      <c r="BF51" s="4">
        <f t="shared" si="49"/>
        <v>-44.057851148764215</v>
      </c>
      <c r="BG51" s="4">
        <f t="shared" si="50"/>
        <v>-11.645553201174467</v>
      </c>
      <c r="BH51" s="4">
        <f t="shared" si="51"/>
        <v>-148.98898370491639</v>
      </c>
      <c r="BI51" s="4">
        <f t="shared" si="52"/>
        <v>-14.535450252110014</v>
      </c>
      <c r="BJ51" s="4">
        <f t="shared" si="53"/>
        <v>-290.07000020278201</v>
      </c>
      <c r="BK51" s="4">
        <f t="shared" si="54"/>
        <v>0.13542443698897016</v>
      </c>
      <c r="BL51" s="4">
        <f t="shared" si="55"/>
        <v>7.657387014175999</v>
      </c>
      <c r="BM51" s="4">
        <f t="shared" si="56"/>
        <v>13.412562754624114</v>
      </c>
      <c r="BN51" s="4">
        <f t="shared" si="57"/>
        <v>-15.959310906648728</v>
      </c>
      <c r="BO51" s="4">
        <f t="shared" si="58"/>
        <v>-124.26705931287273</v>
      </c>
      <c r="BP51" s="4">
        <f t="shared" si="59"/>
        <v>-60.826405120236231</v>
      </c>
      <c r="BQ51" s="4">
        <f t="shared" si="60"/>
        <v>-18.610465126775807</v>
      </c>
      <c r="BR51" s="4">
        <f t="shared" si="61"/>
        <v>80.065395007199015</v>
      </c>
      <c r="BS51" s="4">
        <f t="shared" si="62"/>
        <v>526.34562114290111</v>
      </c>
      <c r="BT51" s="4">
        <f t="shared" si="63"/>
        <v>1666.6232550115888</v>
      </c>
      <c r="BU51" s="4">
        <f t="shared" si="64"/>
        <v>6.4453797700112867</v>
      </c>
      <c r="BV51" s="4">
        <f t="shared" si="65"/>
        <v>79.259230058290228</v>
      </c>
      <c r="BW51" s="4">
        <f t="shared" si="66"/>
        <v>-322.73958307457281</v>
      </c>
      <c r="BX51" s="4">
        <f t="shared" si="67"/>
        <v>-1418.3441863790119</v>
      </c>
      <c r="BY51" s="4">
        <f t="shared" si="68"/>
        <v>-3238.5196128020384</v>
      </c>
      <c r="BZ51" s="6">
        <f t="shared" si="69"/>
        <v>-1.1256361010168803</v>
      </c>
      <c r="CA51" s="7"/>
      <c r="CB51" s="6">
        <v>-1.125635495308416</v>
      </c>
      <c r="CC51" s="6"/>
    </row>
    <row r="52" spans="1:81" x14ac:dyDescent="0.3">
      <c r="A52" s="4">
        <v>50</v>
      </c>
      <c r="B52" s="4">
        <v>122187933</v>
      </c>
      <c r="C52" s="4">
        <v>6.9569999999999999</v>
      </c>
      <c r="D52" s="4">
        <v>5.2569999999999997</v>
      </c>
      <c r="E52" s="4">
        <v>0.39</v>
      </c>
      <c r="F52" s="4">
        <v>3.298</v>
      </c>
      <c r="H52" s="6">
        <v>-2618.81325553337</v>
      </c>
      <c r="I52" s="4">
        <f t="shared" si="0"/>
        <v>322.89386420969998</v>
      </c>
      <c r="J52" s="4">
        <f t="shared" si="1"/>
        <v>-2587.1182680769998</v>
      </c>
      <c r="K52" s="4">
        <f t="shared" si="2"/>
        <v>923.84237399999995</v>
      </c>
      <c r="L52" s="4">
        <f t="shared" si="3"/>
        <v>10657.507183760001</v>
      </c>
      <c r="M52" s="4">
        <f t="shared" si="4"/>
        <v>187.01028024501616</v>
      </c>
      <c r="N52" s="4">
        <f t="shared" si="5"/>
        <v>92.519074408333211</v>
      </c>
      <c r="O52" s="4">
        <f t="shared" si="6"/>
        <v>-186.75191392884</v>
      </c>
      <c r="P52" s="4">
        <f t="shared" si="7"/>
        <v>-879.736969877094</v>
      </c>
      <c r="Q52" s="4">
        <f t="shared" si="8"/>
        <v>-331.65904951691743</v>
      </c>
      <c r="R52" s="4">
        <f t="shared" si="9"/>
        <v>371.00262131477996</v>
      </c>
      <c r="S52" s="4">
        <f t="shared" si="10"/>
        <v>7335.6083498380613</v>
      </c>
      <c r="T52" s="4">
        <f t="shared" si="11"/>
        <v>-63.132257424599999</v>
      </c>
      <c r="U52" s="4">
        <f t="shared" si="12"/>
        <v>-2644.4880120282005</v>
      </c>
      <c r="V52" s="4">
        <f t="shared" si="13"/>
        <v>-16170.519490150798</v>
      </c>
      <c r="W52" s="4">
        <f t="shared" si="14"/>
        <v>-12.184796782959454</v>
      </c>
      <c r="X52" s="4">
        <f t="shared" si="15"/>
        <v>33.760933520800322</v>
      </c>
      <c r="Y52" s="4">
        <f t="shared" si="16"/>
        <v>11.227171840990309</v>
      </c>
      <c r="Z52" s="4">
        <f t="shared" si="17"/>
        <v>-418.63796077667592</v>
      </c>
      <c r="AA52" s="4">
        <f t="shared" si="18"/>
        <v>44.670222159838168</v>
      </c>
      <c r="AB52" s="4">
        <f t="shared" si="19"/>
        <v>-153.69987887531141</v>
      </c>
      <c r="AC52" s="4">
        <f t="shared" si="20"/>
        <v>4.1862596903434435</v>
      </c>
      <c r="AD52" s="4">
        <f t="shared" si="21"/>
        <v>86.820007907437741</v>
      </c>
      <c r="AE52" s="4">
        <f t="shared" si="22"/>
        <v>178.1442616287375</v>
      </c>
      <c r="AF52" s="4">
        <f t="shared" si="23"/>
        <v>903.92666413177199</v>
      </c>
      <c r="AG52" s="4">
        <f t="shared" si="24"/>
        <v>-62.895330962508396</v>
      </c>
      <c r="AH52" s="4">
        <f t="shared" si="25"/>
        <v>170.30740792758581</v>
      </c>
      <c r="AI52" s="4">
        <f t="shared" si="26"/>
        <v>439.3358847658867</v>
      </c>
      <c r="AJ52" s="4">
        <f t="shared" si="27"/>
        <v>-11.755510838613359</v>
      </c>
      <c r="AK52" s="4">
        <f t="shared" si="28"/>
        <v>-839.52760546630248</v>
      </c>
      <c r="AL52" s="4">
        <f t="shared" si="29"/>
        <v>-6667.7886186089136</v>
      </c>
      <c r="AM52" s="4">
        <f t="shared" si="30"/>
        <v>-17.856157212972001</v>
      </c>
      <c r="AN52" s="4">
        <f t="shared" si="31"/>
        <v>162.21272690205183</v>
      </c>
      <c r="AO52" s="4">
        <f t="shared" si="32"/>
        <v>2535.7747326647614</v>
      </c>
      <c r="AP52" s="4">
        <f t="shared" si="33"/>
        <v>10742.776528178671</v>
      </c>
      <c r="AQ52" s="4">
        <f t="shared" si="34"/>
        <v>0.17287666810521224</v>
      </c>
      <c r="AR52" s="4">
        <f t="shared" si="35"/>
        <v>-2.4260327675383295</v>
      </c>
      <c r="AS52" s="4">
        <f t="shared" si="36"/>
        <v>4.3086182462866177E-2</v>
      </c>
      <c r="AT52" s="4">
        <f t="shared" si="37"/>
        <v>14.741330561121442</v>
      </c>
      <c r="AU52" s="4">
        <f t="shared" si="38"/>
        <v>5.4434167599359853</v>
      </c>
      <c r="AV52" s="4">
        <f t="shared" si="39"/>
        <v>-2.9738225879493291E-2</v>
      </c>
      <c r="AW52" s="4">
        <f t="shared" si="40"/>
        <v>-40.735318726279971</v>
      </c>
      <c r="AX52" s="4">
        <f t="shared" si="41"/>
        <v>-9.5306474090498323</v>
      </c>
      <c r="AY52" s="4">
        <f t="shared" si="42"/>
        <v>24.563016755575887</v>
      </c>
      <c r="AZ52" s="4">
        <f t="shared" si="43"/>
        <v>199.22452229912918</v>
      </c>
      <c r="BA52" s="4">
        <f t="shared" si="44"/>
        <v>-0.87390409284649473</v>
      </c>
      <c r="BB52" s="4">
        <f t="shared" si="45"/>
        <v>-19.075457515875854</v>
      </c>
      <c r="BC52" s="4">
        <f t="shared" si="46"/>
        <v>-11.969120651651364</v>
      </c>
      <c r="BD52" s="4">
        <f t="shared" si="47"/>
        <v>27.91228031842061</v>
      </c>
      <c r="BE52" s="4">
        <f t="shared" si="48"/>
        <v>88.641461871908632</v>
      </c>
      <c r="BF52" s="4">
        <f t="shared" si="49"/>
        <v>-70.368429663458073</v>
      </c>
      <c r="BG52" s="4">
        <f t="shared" si="50"/>
        <v>-3.959827424004176</v>
      </c>
      <c r="BH52" s="4">
        <f t="shared" si="51"/>
        <v>-75.267320550573444</v>
      </c>
      <c r="BI52" s="4">
        <f t="shared" si="52"/>
        <v>-10.909804040630602</v>
      </c>
      <c r="BJ52" s="4">
        <f t="shared" si="53"/>
        <v>-323.46510687978741</v>
      </c>
      <c r="BK52" s="4">
        <f t="shared" si="54"/>
        <v>0.46398129834331875</v>
      </c>
      <c r="BL52" s="4">
        <f t="shared" si="55"/>
        <v>12.328718806134297</v>
      </c>
      <c r="BM52" s="4">
        <f t="shared" si="56"/>
        <v>32.083761522373599</v>
      </c>
      <c r="BN52" s="4">
        <f t="shared" si="57"/>
        <v>-12.074951581309396</v>
      </c>
      <c r="BO52" s="4">
        <f t="shared" si="58"/>
        <v>-139.68939826918577</v>
      </c>
      <c r="BP52" s="4">
        <f t="shared" si="59"/>
        <v>-101.58643933121628</v>
      </c>
      <c r="BQ52" s="4">
        <f t="shared" si="60"/>
        <v>-6.6170193219762723</v>
      </c>
      <c r="BR52" s="4">
        <f t="shared" si="61"/>
        <v>42.29472336312994</v>
      </c>
      <c r="BS52" s="4">
        <f t="shared" si="62"/>
        <v>413.09364619670129</v>
      </c>
      <c r="BT52" s="4">
        <f t="shared" si="63"/>
        <v>1943.3503419359974</v>
      </c>
      <c r="BU52" s="4">
        <f t="shared" si="64"/>
        <v>1.0769303085680881</v>
      </c>
      <c r="BV52" s="4">
        <f t="shared" si="65"/>
        <v>19.675469303394841</v>
      </c>
      <c r="BW52" s="4">
        <f t="shared" si="66"/>
        <v>-119.03197711581369</v>
      </c>
      <c r="BX52" s="4">
        <f t="shared" si="67"/>
        <v>-777.19358871101542</v>
      </c>
      <c r="BY52" s="4">
        <f t="shared" si="68"/>
        <v>-2636.5151470762585</v>
      </c>
      <c r="BZ52" s="6">
        <f t="shared" si="69"/>
        <v>0.75180783063933632</v>
      </c>
      <c r="CA52" s="7"/>
      <c r="CB52" s="6">
        <v>0.75180763783691873</v>
      </c>
      <c r="CC52" s="6"/>
    </row>
    <row r="53" spans="1:81" x14ac:dyDescent="0.3">
      <c r="A53" s="4">
        <v>51</v>
      </c>
      <c r="B53" s="4">
        <v>122187925</v>
      </c>
      <c r="C53" s="4">
        <v>7.9850000000000003</v>
      </c>
      <c r="D53" s="4">
        <v>4.0019999999999998</v>
      </c>
      <c r="E53" s="4">
        <v>0.40500000000000003</v>
      </c>
      <c r="F53" s="4">
        <v>2.9279999999999999</v>
      </c>
      <c r="H53" s="6">
        <v>-2618.81325553337</v>
      </c>
      <c r="I53" s="4">
        <f t="shared" si="0"/>
        <v>370.6062247685</v>
      </c>
      <c r="J53" s="4">
        <f t="shared" si="1"/>
        <v>-1969.4973005219999</v>
      </c>
      <c r="K53" s="4">
        <f t="shared" si="2"/>
        <v>959.374773</v>
      </c>
      <c r="L53" s="4">
        <f t="shared" si="3"/>
        <v>9461.8499193600001</v>
      </c>
      <c r="M53" s="4">
        <f t="shared" si="4"/>
        <v>246.36063525188453</v>
      </c>
      <c r="N53" s="4">
        <f t="shared" si="5"/>
        <v>80.839441364721893</v>
      </c>
      <c r="O53" s="4">
        <f t="shared" si="6"/>
        <v>-222.59140701390001</v>
      </c>
      <c r="P53" s="4">
        <f t="shared" si="7"/>
        <v>-896.45022641832009</v>
      </c>
      <c r="Q53" s="4">
        <f t="shared" si="8"/>
        <v>-192.20738332382999</v>
      </c>
      <c r="R53" s="4">
        <f t="shared" si="9"/>
        <v>293.29624415465997</v>
      </c>
      <c r="S53" s="4">
        <f t="shared" si="10"/>
        <v>4957.8760454771518</v>
      </c>
      <c r="T53" s="4">
        <f t="shared" si="11"/>
        <v>-68.081975832150007</v>
      </c>
      <c r="U53" s="4">
        <f t="shared" si="12"/>
        <v>-2438.1051952104003</v>
      </c>
      <c r="V53" s="4">
        <f t="shared" si="13"/>
        <v>-12745.732934476799</v>
      </c>
      <c r="W53" s="4">
        <f t="shared" si="14"/>
        <v>-18.423707999533963</v>
      </c>
      <c r="X53" s="4">
        <f t="shared" si="15"/>
        <v>33.857850909606299</v>
      </c>
      <c r="Y53" s="4">
        <f t="shared" si="16"/>
        <v>15.359130143607372</v>
      </c>
      <c r="Z53" s="4">
        <f t="shared" si="17"/>
        <v>-489.62643970138527</v>
      </c>
      <c r="AA53" s="4">
        <f t="shared" si="18"/>
        <v>29.713187537253912</v>
      </c>
      <c r="AB53" s="4">
        <f t="shared" si="19"/>
        <v>-139.46202465659616</v>
      </c>
      <c r="AC53" s="4">
        <f t="shared" si="20"/>
        <v>3.2474211236488446</v>
      </c>
      <c r="AD53" s="4">
        <f t="shared" si="21"/>
        <v>107.4616663242652</v>
      </c>
      <c r="AE53" s="4">
        <f t="shared" si="22"/>
        <v>188.51052018038297</v>
      </c>
      <c r="AF53" s="4">
        <f t="shared" si="23"/>
        <v>817.76205828999127</v>
      </c>
      <c r="AG53" s="4">
        <f t="shared" si="24"/>
        <v>-27.748258303727464</v>
      </c>
      <c r="AH53" s="4">
        <f t="shared" si="25"/>
        <v>102.49487964369939</v>
      </c>
      <c r="AI53" s="4">
        <f t="shared" si="26"/>
        <v>226.04521248272536</v>
      </c>
      <c r="AJ53" s="4">
        <f t="shared" si="27"/>
        <v>-9.6507584534228403</v>
      </c>
      <c r="AK53" s="4">
        <f t="shared" si="28"/>
        <v>-589.23010233758009</v>
      </c>
      <c r="AL53" s="4">
        <f t="shared" si="29"/>
        <v>-4000.9375524393299</v>
      </c>
      <c r="AM53" s="4">
        <f t="shared" si="30"/>
        <v>-19.996742286238504</v>
      </c>
      <c r="AN53" s="4">
        <f t="shared" si="31"/>
        <v>155.30526485710922</v>
      </c>
      <c r="AO53" s="4">
        <f t="shared" si="32"/>
        <v>2075.5917146586471</v>
      </c>
      <c r="AP53" s="4">
        <f t="shared" si="33"/>
        <v>7517.5756102738569</v>
      </c>
      <c r="AQ53" s="4">
        <f t="shared" si="34"/>
        <v>0.30001851158591158</v>
      </c>
      <c r="AR53" s="4">
        <f t="shared" si="35"/>
        <v>-2.7925086114889979</v>
      </c>
      <c r="AS53" s="4">
        <f t="shared" si="36"/>
        <v>6.7653019337107045E-2</v>
      </c>
      <c r="AT53" s="4">
        <f t="shared" si="37"/>
        <v>19.788635881620323</v>
      </c>
      <c r="AU53" s="4">
        <f t="shared" si="38"/>
        <v>4.1558095325598696</v>
      </c>
      <c r="AV53" s="4">
        <f t="shared" si="39"/>
        <v>-3.0970656653679037E-2</v>
      </c>
      <c r="AW53" s="4">
        <f t="shared" si="40"/>
        <v>-36.269075147028872</v>
      </c>
      <c r="AX53" s="4">
        <f t="shared" si="41"/>
        <v>-13.539700865228387</v>
      </c>
      <c r="AY53" s="4">
        <f t="shared" si="42"/>
        <v>29.833099458395218</v>
      </c>
      <c r="AZ53" s="4">
        <f t="shared" si="43"/>
        <v>206.86616843163335</v>
      </c>
      <c r="BA53" s="4">
        <f t="shared" si="44"/>
        <v>-0.4425211295693966</v>
      </c>
      <c r="BB53" s="4">
        <f t="shared" si="45"/>
        <v>-13.176392129777364</v>
      </c>
      <c r="BC53" s="4">
        <f t="shared" si="46"/>
        <v>-7.0682808530103349</v>
      </c>
      <c r="BD53" s="4">
        <f t="shared" si="47"/>
        <v>26.300752522182506</v>
      </c>
      <c r="BE53" s="4">
        <f t="shared" si="48"/>
        <v>71.406832932002885</v>
      </c>
      <c r="BF53" s="4">
        <f t="shared" si="49"/>
        <v>-48.463048127507008</v>
      </c>
      <c r="BG53" s="4">
        <f t="shared" si="50"/>
        <v>-5.0897965701592245</v>
      </c>
      <c r="BH53" s="4">
        <f t="shared" si="51"/>
        <v>-82.71049622192848</v>
      </c>
      <c r="BI53" s="4">
        <f t="shared" si="52"/>
        <v>-10.249463316726853</v>
      </c>
      <c r="BJ53" s="4">
        <f t="shared" si="53"/>
        <v>-259.80147910521157</v>
      </c>
      <c r="BK53" s="4">
        <f t="shared" si="54"/>
        <v>0.15583209342786175</v>
      </c>
      <c r="BL53" s="4">
        <f t="shared" si="55"/>
        <v>5.6484031340315584</v>
      </c>
      <c r="BM53" s="4">
        <f t="shared" si="56"/>
        <v>12.566751362655205</v>
      </c>
      <c r="BN53" s="4">
        <f t="shared" si="57"/>
        <v>-7.5464803391137441</v>
      </c>
      <c r="BO53" s="4">
        <f t="shared" si="58"/>
        <v>-74.636711894445966</v>
      </c>
      <c r="BP53" s="4">
        <f t="shared" si="59"/>
        <v>-46.403933421699293</v>
      </c>
      <c r="BQ53" s="4">
        <f t="shared" si="60"/>
        <v>-5.6412163849642374</v>
      </c>
      <c r="BR53" s="4">
        <f t="shared" si="61"/>
        <v>30.826665466842307</v>
      </c>
      <c r="BS53" s="4">
        <f t="shared" si="62"/>
        <v>257.40612736804871</v>
      </c>
      <c r="BT53" s="4">
        <f t="shared" si="63"/>
        <v>1035.2648566732589</v>
      </c>
      <c r="BU53" s="4">
        <f t="shared" si="64"/>
        <v>1.2524178952849458</v>
      </c>
      <c r="BV53" s="4">
        <f t="shared" si="65"/>
        <v>19.562158332304925</v>
      </c>
      <c r="BW53" s="4">
        <f t="shared" si="66"/>
        <v>-101.17782093997778</v>
      </c>
      <c r="BX53" s="4">
        <f t="shared" si="67"/>
        <v>-564.78205429840307</v>
      </c>
      <c r="BY53" s="4">
        <f t="shared" si="68"/>
        <v>-1637.9926741157547</v>
      </c>
      <c r="BZ53" s="6">
        <f t="shared" si="69"/>
        <v>0.16009377964792293</v>
      </c>
      <c r="CA53" s="7"/>
      <c r="CB53" s="6">
        <v>0.16009475809596549</v>
      </c>
      <c r="CC53" s="6"/>
    </row>
    <row r="54" spans="1:81" x14ac:dyDescent="0.3">
      <c r="A54" s="4">
        <v>52</v>
      </c>
      <c r="B54" s="4">
        <v>15727886</v>
      </c>
      <c r="C54" s="4">
        <v>4.6269999999999998</v>
      </c>
      <c r="D54" s="4">
        <v>6.0670000000000002</v>
      </c>
      <c r="E54" s="4">
        <v>0.59799999999999998</v>
      </c>
      <c r="F54" s="4">
        <v>3.9009999999999998</v>
      </c>
      <c r="H54" s="6">
        <v>-2618.81325553337</v>
      </c>
      <c r="I54" s="4">
        <f t="shared" si="0"/>
        <v>214.75203531669999</v>
      </c>
      <c r="J54" s="4">
        <f t="shared" si="1"/>
        <v>-2985.7421594870002</v>
      </c>
      <c r="K54" s="4">
        <f t="shared" si="2"/>
        <v>1416.5583067999999</v>
      </c>
      <c r="L54" s="4">
        <f t="shared" si="3"/>
        <v>12606.105374119999</v>
      </c>
      <c r="M54" s="4">
        <f t="shared" si="4"/>
        <v>82.721894733425771</v>
      </c>
      <c r="N54" s="4">
        <f t="shared" si="5"/>
        <v>71.014133682859423</v>
      </c>
      <c r="O54" s="4">
        <f t="shared" si="6"/>
        <v>-190.44919201016796</v>
      </c>
      <c r="P54" s="4">
        <f t="shared" si="7"/>
        <v>-692.07894694903291</v>
      </c>
      <c r="Q54" s="4">
        <f t="shared" si="8"/>
        <v>-441.73711212821752</v>
      </c>
      <c r="R54" s="4">
        <f t="shared" si="9"/>
        <v>656.52243714267593</v>
      </c>
      <c r="S54" s="4">
        <f t="shared" si="10"/>
        <v>10013.766333091689</v>
      </c>
      <c r="T54" s="4">
        <f t="shared" si="11"/>
        <v>-148.43095190050397</v>
      </c>
      <c r="U54" s="4">
        <f t="shared" si="12"/>
        <v>-4796.2684031373801</v>
      </c>
      <c r="V54" s="4">
        <f t="shared" si="13"/>
        <v>-22624.269745757694</v>
      </c>
      <c r="W54" s="4">
        <f t="shared" si="14"/>
        <v>-3.5846831867451234</v>
      </c>
      <c r="X54" s="4">
        <f t="shared" si="15"/>
        <v>17.234768607005609</v>
      </c>
      <c r="Y54" s="4">
        <f t="shared" si="16"/>
        <v>7.6148602801431133</v>
      </c>
      <c r="Z54" s="4">
        <f t="shared" si="17"/>
        <v>-219.03771362842352</v>
      </c>
      <c r="AA54" s="4">
        <f t="shared" si="18"/>
        <v>39.570145243532757</v>
      </c>
      <c r="AB54" s="4">
        <f t="shared" si="19"/>
        <v>-180.89377262776557</v>
      </c>
      <c r="AC54" s="4">
        <f t="shared" si="20"/>
        <v>3.800712147534707</v>
      </c>
      <c r="AD54" s="4">
        <f t="shared" si="21"/>
        <v>135.75957543315343</v>
      </c>
      <c r="AE54" s="4">
        <f t="shared" si="22"/>
        <v>214.8875278206429</v>
      </c>
      <c r="AF54" s="4">
        <f t="shared" si="23"/>
        <v>841.12645313093151</v>
      </c>
      <c r="AG54" s="4">
        <f t="shared" si="24"/>
        <v>-96.677733552844828</v>
      </c>
      <c r="AH54" s="4">
        <f t="shared" si="25"/>
        <v>347.81007005351182</v>
      </c>
      <c r="AI54" s="4">
        <f t="shared" si="26"/>
        <v>692.14010190090039</v>
      </c>
      <c r="AJ54" s="4">
        <f t="shared" si="27"/>
        <v>-31.897061672193075</v>
      </c>
      <c r="AK54" s="4">
        <f t="shared" si="28"/>
        <v>-1757.2472612955855</v>
      </c>
      <c r="AL54" s="4">
        <f t="shared" si="29"/>
        <v>-10766.348643993253</v>
      </c>
      <c r="AM54" s="4">
        <f t="shared" si="30"/>
        <v>-64.372108091920097</v>
      </c>
      <c r="AN54" s="4">
        <f t="shared" si="31"/>
        <v>451.11095937491302</v>
      </c>
      <c r="AO54" s="4">
        <f t="shared" si="32"/>
        <v>5439.9867892441698</v>
      </c>
      <c r="AP54" s="4">
        <f t="shared" si="33"/>
        <v>17778.390394735201</v>
      </c>
      <c r="AQ54" s="4">
        <f t="shared" si="34"/>
        <v>3.3825666934559129E-2</v>
      </c>
      <c r="AR54" s="4">
        <f t="shared" si="35"/>
        <v>-0.82369260844228798</v>
      </c>
      <c r="AS54" s="4">
        <f t="shared" si="36"/>
        <v>1.9436008560265252E-2</v>
      </c>
      <c r="AT54" s="4">
        <f t="shared" si="37"/>
        <v>5.1297295923842725</v>
      </c>
      <c r="AU54" s="4">
        <f t="shared" si="38"/>
        <v>3.2069974474842797</v>
      </c>
      <c r="AV54" s="4">
        <f t="shared" si="39"/>
        <v>-2.3277838085655329E-2</v>
      </c>
      <c r="AW54" s="4">
        <f t="shared" si="40"/>
        <v>-24.597299428740083</v>
      </c>
      <c r="AX54" s="4">
        <f t="shared" si="41"/>
        <v>-9.9117547845714089</v>
      </c>
      <c r="AY54" s="4">
        <f t="shared" si="42"/>
        <v>19.706004277850059</v>
      </c>
      <c r="AZ54" s="4">
        <f t="shared" si="43"/>
        <v>123.29582883843149</v>
      </c>
      <c r="BA54" s="4">
        <f t="shared" si="44"/>
        <v>-0.89340694306989865</v>
      </c>
      <c r="BB54" s="4">
        <f t="shared" si="45"/>
        <v>-25.909621703023042</v>
      </c>
      <c r="BC54" s="4">
        <f t="shared" si="46"/>
        <v>-12.541141726138383</v>
      </c>
      <c r="BD54" s="4">
        <f t="shared" si="47"/>
        <v>50.371163901565076</v>
      </c>
      <c r="BE54" s="4">
        <f t="shared" si="48"/>
        <v>123.39918740740515</v>
      </c>
      <c r="BF54" s="4">
        <f t="shared" si="49"/>
        <v>-75.568703543616948</v>
      </c>
      <c r="BG54" s="4">
        <f t="shared" si="50"/>
        <v>-9.4943117107472954</v>
      </c>
      <c r="BH54" s="4">
        <f t="shared" si="51"/>
        <v>-139.21383740390317</v>
      </c>
      <c r="BI54" s="4">
        <f t="shared" si="52"/>
        <v>-15.566164693596724</v>
      </c>
      <c r="BJ54" s="4">
        <f t="shared" si="53"/>
        <v>-356.02527623800671</v>
      </c>
      <c r="BK54" s="4">
        <f t="shared" si="54"/>
        <v>0.82308473544931138</v>
      </c>
      <c r="BL54" s="4">
        <f t="shared" si="55"/>
        <v>29.057789814267259</v>
      </c>
      <c r="BM54" s="4">
        <f t="shared" si="56"/>
        <v>58.333580262524364</v>
      </c>
      <c r="BN54" s="4">
        <f t="shared" si="57"/>
        <v>-37.812081713241582</v>
      </c>
      <c r="BO54" s="4">
        <f t="shared" si="58"/>
        <v>-337.44061847542349</v>
      </c>
      <c r="BP54" s="4">
        <f t="shared" si="59"/>
        <v>-189.30338166486874</v>
      </c>
      <c r="BQ54" s="4">
        <f t="shared" si="60"/>
        <v>-27.530122991255364</v>
      </c>
      <c r="BR54" s="4">
        <f t="shared" si="61"/>
        <v>135.74400533533114</v>
      </c>
      <c r="BS54" s="4">
        <f t="shared" si="62"/>
        <v>1022.7552277094533</v>
      </c>
      <c r="BT54" s="4">
        <f t="shared" si="63"/>
        <v>3711.6158104325627</v>
      </c>
      <c r="BU54" s="4">
        <f t="shared" si="64"/>
        <v>5.9529729280000447</v>
      </c>
      <c r="BV54" s="4">
        <f t="shared" si="65"/>
        <v>83.899646294382123</v>
      </c>
      <c r="BW54" s="4">
        <f t="shared" si="66"/>
        <v>-391.55015407657874</v>
      </c>
      <c r="BX54" s="4">
        <f t="shared" si="67"/>
        <v>-1972.1578986051461</v>
      </c>
      <c r="BY54" s="4">
        <f t="shared" si="68"/>
        <v>-5160.9715707061832</v>
      </c>
      <c r="BZ54" s="6">
        <f t="shared" si="69"/>
        <v>-0.96589829515869496</v>
      </c>
      <c r="CA54" s="7"/>
      <c r="CB54" s="6">
        <v>-0.96590259719278038</v>
      </c>
      <c r="CC54" s="6"/>
    </row>
    <row r="55" spans="1:81" x14ac:dyDescent="0.3">
      <c r="A55" s="4">
        <v>53</v>
      </c>
      <c r="B55" s="4">
        <v>25269971</v>
      </c>
      <c r="C55" s="4">
        <v>4.4640000000000004</v>
      </c>
      <c r="D55" s="4">
        <v>6.181</v>
      </c>
      <c r="E55" s="4">
        <v>0.57199999999999995</v>
      </c>
      <c r="F55" s="4">
        <v>3.9009999999999998</v>
      </c>
      <c r="H55" s="6">
        <v>-2618.81325553337</v>
      </c>
      <c r="I55" s="4">
        <f t="shared" si="0"/>
        <v>207.18674857440001</v>
      </c>
      <c r="J55" s="4">
        <f t="shared" si="1"/>
        <v>-3041.844781241</v>
      </c>
      <c r="K55" s="4">
        <f t="shared" si="2"/>
        <v>1354.9688151999999</v>
      </c>
      <c r="L55" s="4">
        <f t="shared" si="3"/>
        <v>12606.105374119999</v>
      </c>
      <c r="M55" s="4">
        <f t="shared" si="4"/>
        <v>76.996298262942744</v>
      </c>
      <c r="N55" s="4">
        <f t="shared" si="5"/>
        <v>69.799808070427687</v>
      </c>
      <c r="O55" s="4">
        <f t="shared" si="6"/>
        <v>-175.75134840806399</v>
      </c>
      <c r="P55" s="4">
        <f t="shared" si="7"/>
        <v>-667.69838322465603</v>
      </c>
      <c r="Q55" s="4">
        <f t="shared" si="8"/>
        <v>-458.49371305865748</v>
      </c>
      <c r="R55" s="4">
        <f t="shared" si="9"/>
        <v>639.77780041375183</v>
      </c>
      <c r="S55" s="4">
        <f t="shared" si="10"/>
        <v>10201.926768557727</v>
      </c>
      <c r="T55" s="4">
        <f t="shared" si="11"/>
        <v>-135.80450041558396</v>
      </c>
      <c r="U55" s="4">
        <f t="shared" si="12"/>
        <v>-4587.7349943053196</v>
      </c>
      <c r="V55" s="4">
        <f t="shared" si="13"/>
        <v>-22624.269745757694</v>
      </c>
      <c r="W55" s="4">
        <f t="shared" si="14"/>
        <v>-3.2190286215250956</v>
      </c>
      <c r="X55" s="4">
        <f t="shared" si="15"/>
        <v>16.343293441719823</v>
      </c>
      <c r="Y55" s="4">
        <f t="shared" si="16"/>
        <v>6.7796325609778032</v>
      </c>
      <c r="Z55" s="4">
        <f t="shared" si="17"/>
        <v>-203.87701688549924</v>
      </c>
      <c r="AA55" s="4">
        <f t="shared" si="18"/>
        <v>39.624320529320549</v>
      </c>
      <c r="AB55" s="4">
        <f t="shared" si="19"/>
        <v>-170.0700722311631</v>
      </c>
      <c r="AC55" s="4">
        <f t="shared" si="20"/>
        <v>3.7357208300760831</v>
      </c>
      <c r="AD55" s="4">
        <f t="shared" si="21"/>
        <v>119.83532199678673</v>
      </c>
      <c r="AE55" s="4">
        <f t="shared" si="22"/>
        <v>198.30366499290275</v>
      </c>
      <c r="AF55" s="4">
        <f t="shared" si="23"/>
        <v>811.49524244142617</v>
      </c>
      <c r="AG55" s="4">
        <f t="shared" si="24"/>
        <v>-102.23055216319555</v>
      </c>
      <c r="AH55" s="4">
        <f t="shared" si="25"/>
        <v>345.30788382199466</v>
      </c>
      <c r="AI55" s="4">
        <f t="shared" si="26"/>
        <v>718.39534547695064</v>
      </c>
      <c r="AJ55" s="4">
        <f t="shared" si="27"/>
        <v>-29.732067927917548</v>
      </c>
      <c r="AK55" s="4">
        <f t="shared" si="28"/>
        <v>-1712.4285843264438</v>
      </c>
      <c r="AL55" s="4">
        <f t="shared" si="29"/>
        <v>-10968.650233809511</v>
      </c>
      <c r="AM55" s="4">
        <f t="shared" si="30"/>
        <v>-56.335514667770603</v>
      </c>
      <c r="AN55" s="4">
        <f t="shared" si="31"/>
        <v>412.73668116721711</v>
      </c>
      <c r="AO55" s="4">
        <f t="shared" si="32"/>
        <v>5203.4656244944235</v>
      </c>
      <c r="AP55" s="4">
        <f t="shared" si="33"/>
        <v>17778.390394735201</v>
      </c>
      <c r="AQ55" s="4">
        <f t="shared" si="34"/>
        <v>2.9305228631428343E-2</v>
      </c>
      <c r="AR55" s="4">
        <f t="shared" si="35"/>
        <v>-0.75357065253891153</v>
      </c>
      <c r="AS55" s="4">
        <f t="shared" si="36"/>
        <v>1.6694598765088917E-2</v>
      </c>
      <c r="AT55" s="4">
        <f t="shared" si="37"/>
        <v>4.6064730182091038</v>
      </c>
      <c r="AU55" s="4">
        <f t="shared" si="38"/>
        <v>3.0982573198411894</v>
      </c>
      <c r="AV55" s="4">
        <f t="shared" si="39"/>
        <v>-2.1114053095472669E-2</v>
      </c>
      <c r="AW55" s="4">
        <f t="shared" si="40"/>
        <v>-23.324994469281165</v>
      </c>
      <c r="AX55" s="4">
        <f t="shared" si="41"/>
        <v>-8.4409166450100326</v>
      </c>
      <c r="AY55" s="4">
        <f t="shared" si="42"/>
        <v>17.544572498232267</v>
      </c>
      <c r="AZ55" s="4">
        <f t="shared" si="43"/>
        <v>114.76190726062521</v>
      </c>
      <c r="BA55" s="4">
        <f t="shared" si="44"/>
        <v>-0.9114403593956647</v>
      </c>
      <c r="BB55" s="4">
        <f t="shared" si="45"/>
        <v>-24.817046850963873</v>
      </c>
      <c r="BC55" s="4">
        <f t="shared" si="46"/>
        <v>-12.558311739868108</v>
      </c>
      <c r="BD55" s="4">
        <f t="shared" si="47"/>
        <v>45.298217288472244</v>
      </c>
      <c r="BE55" s="4">
        <f t="shared" si="48"/>
        <v>116.01565057095279</v>
      </c>
      <c r="BF55" s="4">
        <f t="shared" si="49"/>
        <v>-74.276495817460827</v>
      </c>
      <c r="BG55" s="4">
        <f t="shared" si="50"/>
        <v>-8.016276838006819</v>
      </c>
      <c r="BH55" s="4">
        <f t="shared" si="51"/>
        <v>-122.88440781047854</v>
      </c>
      <c r="BI55" s="4">
        <f t="shared" si="52"/>
        <v>-14.364851882887281</v>
      </c>
      <c r="BJ55" s="4">
        <f t="shared" si="53"/>
        <v>-343.48321442110699</v>
      </c>
      <c r="BK55" s="4">
        <f t="shared" si="54"/>
        <v>0.88671395241650641</v>
      </c>
      <c r="BL55" s="4">
        <f t="shared" si="55"/>
        <v>29.390817683936973</v>
      </c>
      <c r="BM55" s="4">
        <f t="shared" si="56"/>
        <v>61.684049684866352</v>
      </c>
      <c r="BN55" s="4">
        <f t="shared" si="57"/>
        <v>-35.90788078558645</v>
      </c>
      <c r="BO55" s="4">
        <f t="shared" si="58"/>
        <v>-335.01303128861787</v>
      </c>
      <c r="BP55" s="4">
        <f t="shared" si="59"/>
        <v>-196.48430700315058</v>
      </c>
      <c r="BQ55" s="4">
        <f t="shared" si="60"/>
        <v>-24.545813758159937</v>
      </c>
      <c r="BR55" s="4">
        <f t="shared" si="61"/>
        <v>126.53046317918653</v>
      </c>
      <c r="BS55" s="4">
        <f t="shared" si="62"/>
        <v>996.66980582328415</v>
      </c>
      <c r="BT55" s="4">
        <f t="shared" si="63"/>
        <v>3781.357726105764</v>
      </c>
      <c r="BU55" s="4">
        <f t="shared" si="64"/>
        <v>4.9832570145960666</v>
      </c>
      <c r="BV55" s="4">
        <f t="shared" si="65"/>
        <v>73.425119893365704</v>
      </c>
      <c r="BW55" s="4">
        <f t="shared" si="66"/>
        <v>-358.24248501524403</v>
      </c>
      <c r="BX55" s="4">
        <f t="shared" si="67"/>
        <v>-1886.4119030136178</v>
      </c>
      <c r="BY55" s="4">
        <f t="shared" si="68"/>
        <v>-5160.9715707061832</v>
      </c>
      <c r="BZ55" s="6">
        <f t="shared" si="69"/>
        <v>-0.90965487863195449</v>
      </c>
      <c r="CA55" s="7"/>
      <c r="CB55" s="6">
        <v>-0.90965911372632036</v>
      </c>
      <c r="CC55" s="6"/>
    </row>
    <row r="56" spans="1:81" x14ac:dyDescent="0.3">
      <c r="A56" s="4">
        <v>54</v>
      </c>
      <c r="B56" s="4">
        <v>14283880</v>
      </c>
      <c r="C56" s="4">
        <v>15.36</v>
      </c>
      <c r="D56" s="4">
        <v>5.492</v>
      </c>
      <c r="E56" s="4">
        <v>0.44700000000000001</v>
      </c>
      <c r="F56" s="4">
        <v>3.6419999999999999</v>
      </c>
      <c r="H56" s="6">
        <v>-2618.81325553337</v>
      </c>
      <c r="I56" s="4">
        <f t="shared" si="0"/>
        <v>712.90064025599997</v>
      </c>
      <c r="J56" s="4">
        <f t="shared" si="1"/>
        <v>-2702.768409412</v>
      </c>
      <c r="K56" s="4">
        <f t="shared" si="2"/>
        <v>1058.8654902000001</v>
      </c>
      <c r="L56" s="4">
        <f t="shared" si="3"/>
        <v>11769.14528904</v>
      </c>
      <c r="M56" s="4">
        <f t="shared" si="4"/>
        <v>911.599137718272</v>
      </c>
      <c r="N56" s="4">
        <f t="shared" si="5"/>
        <v>213.39932588298237</v>
      </c>
      <c r="O56" s="4">
        <f t="shared" si="6"/>
        <v>-472.58201511935994</v>
      </c>
      <c r="P56" s="4">
        <f t="shared" si="7"/>
        <v>-2144.9212188364795</v>
      </c>
      <c r="Q56" s="4">
        <f t="shared" si="8"/>
        <v>-361.97364817627999</v>
      </c>
      <c r="R56" s="4">
        <f t="shared" si="9"/>
        <v>444.23466592946397</v>
      </c>
      <c r="S56" s="4">
        <f t="shared" si="10"/>
        <v>8462.8760065400893</v>
      </c>
      <c r="T56" s="4">
        <f t="shared" si="11"/>
        <v>-82.934866691334008</v>
      </c>
      <c r="U56" s="4">
        <f t="shared" si="12"/>
        <v>-3347.1394682819405</v>
      </c>
      <c r="V56" s="4">
        <f t="shared" si="13"/>
        <v>-19719.802111222798</v>
      </c>
      <c r="W56" s="4">
        <f t="shared" si="14"/>
        <v>-131.1372063277056</v>
      </c>
      <c r="X56" s="4">
        <f t="shared" si="15"/>
        <v>171.92752962789706</v>
      </c>
      <c r="Y56" s="4">
        <f t="shared" si="16"/>
        <v>62.726594627764221</v>
      </c>
      <c r="Z56" s="4">
        <f t="shared" si="17"/>
        <v>-2253.5454480971857</v>
      </c>
      <c r="AA56" s="4">
        <f t="shared" si="18"/>
        <v>107.63968738853167</v>
      </c>
      <c r="AB56" s="4">
        <f t="shared" si="19"/>
        <v>-406.32936104143874</v>
      </c>
      <c r="AC56" s="4">
        <f t="shared" si="20"/>
        <v>10.662946246937933</v>
      </c>
      <c r="AD56" s="4">
        <f t="shared" si="21"/>
        <v>251.81109734688459</v>
      </c>
      <c r="AE56" s="4">
        <f t="shared" si="22"/>
        <v>497.82104948926781</v>
      </c>
      <c r="AF56" s="4">
        <f t="shared" si="23"/>
        <v>2433.778162985097</v>
      </c>
      <c r="AG56" s="4">
        <f t="shared" si="24"/>
        <v>-71.712697905089399</v>
      </c>
      <c r="AH56" s="4">
        <f t="shared" si="25"/>
        <v>213.04019857995752</v>
      </c>
      <c r="AI56" s="4">
        <f t="shared" si="26"/>
        <v>529.50622597727158</v>
      </c>
      <c r="AJ56" s="4">
        <f t="shared" si="27"/>
        <v>-16.133176682262807</v>
      </c>
      <c r="AK56" s="4">
        <f t="shared" si="28"/>
        <v>-1110.0939583952786</v>
      </c>
      <c r="AL56" s="4">
        <f t="shared" si="29"/>
        <v>-8494.7960272887813</v>
      </c>
      <c r="AM56" s="4">
        <f t="shared" si="30"/>
        <v>-26.885415291986124</v>
      </c>
      <c r="AN56" s="4">
        <f t="shared" si="31"/>
        <v>235.32065442794504</v>
      </c>
      <c r="AO56" s="4">
        <f t="shared" si="32"/>
        <v>3544.3138063824849</v>
      </c>
      <c r="AP56" s="4">
        <f t="shared" si="33"/>
        <v>14467.197558403877</v>
      </c>
      <c r="AQ56" s="4">
        <f t="shared" si="34"/>
        <v>4.1078372902745874</v>
      </c>
      <c r="AR56" s="4">
        <f t="shared" si="35"/>
        <v>-27.277015531437748</v>
      </c>
      <c r="AS56" s="4">
        <f t="shared" si="36"/>
        <v>0.53148201075254853</v>
      </c>
      <c r="AT56" s="4">
        <f t="shared" si="37"/>
        <v>175.19980244805947</v>
      </c>
      <c r="AU56" s="4">
        <f t="shared" si="38"/>
        <v>28.959770369933292</v>
      </c>
      <c r="AV56" s="4">
        <f t="shared" si="39"/>
        <v>-0.17357570912006418</v>
      </c>
      <c r="AW56" s="4">
        <f t="shared" si="40"/>
        <v>-229.08222102904696</v>
      </c>
      <c r="AX56" s="4">
        <f t="shared" si="41"/>
        <v>-61.030462312018877</v>
      </c>
      <c r="AY56" s="4">
        <f t="shared" si="42"/>
        <v>151.54874191490359</v>
      </c>
      <c r="AZ56" s="4">
        <f t="shared" si="43"/>
        <v>1184.2947365676794</v>
      </c>
      <c r="BA56" s="4">
        <f t="shared" si="44"/>
        <v>-2.1999390073546374</v>
      </c>
      <c r="BB56" s="4">
        <f t="shared" si="45"/>
        <v>-52.683205860840765</v>
      </c>
      <c r="BC56" s="4">
        <f t="shared" si="46"/>
        <v>-31.84973699175751</v>
      </c>
      <c r="BD56" s="4">
        <f t="shared" si="47"/>
        <v>84.575176755941428</v>
      </c>
      <c r="BE56" s="4">
        <f t="shared" si="48"/>
        <v>258.78010214481532</v>
      </c>
      <c r="BF56" s="4">
        <f t="shared" si="49"/>
        <v>-197.93299839561317</v>
      </c>
      <c r="BG56" s="4">
        <f t="shared" si="50"/>
        <v>-13.16358613938149</v>
      </c>
      <c r="BH56" s="4">
        <f t="shared" si="51"/>
        <v>-241.07423123764741</v>
      </c>
      <c r="BI56" s="4">
        <f t="shared" si="52"/>
        <v>-33.667251147597476</v>
      </c>
      <c r="BJ56" s="4">
        <f t="shared" si="53"/>
        <v>-961.75515259434178</v>
      </c>
      <c r="BK56" s="4">
        <f t="shared" si="54"/>
        <v>0.55267609710069321</v>
      </c>
      <c r="BL56" s="4">
        <f t="shared" si="55"/>
        <v>16.111594318306739</v>
      </c>
      <c r="BM56" s="4">
        <f t="shared" si="56"/>
        <v>40.397289290082526</v>
      </c>
      <c r="BN56" s="4">
        <f t="shared" si="57"/>
        <v>-17.312362346612087</v>
      </c>
      <c r="BO56" s="4">
        <f t="shared" si="58"/>
        <v>-192.96598288904943</v>
      </c>
      <c r="BP56" s="4">
        <f t="shared" si="59"/>
        <v>-135.20707627613228</v>
      </c>
      <c r="BQ56" s="4">
        <f t="shared" si="60"/>
        <v>-10.40839349649444</v>
      </c>
      <c r="BR56" s="4">
        <f t="shared" si="61"/>
        <v>64.099384987314053</v>
      </c>
      <c r="BS56" s="4">
        <f t="shared" si="62"/>
        <v>603.201708685575</v>
      </c>
      <c r="BT56" s="4">
        <f t="shared" si="63"/>
        <v>2734.0819206416531</v>
      </c>
      <c r="BU56" s="4">
        <f t="shared" si="64"/>
        <v>1.8584858725441242</v>
      </c>
      <c r="BV56" s="4">
        <f t="shared" si="65"/>
        <v>32.714714795547259</v>
      </c>
      <c r="BW56" s="4">
        <f t="shared" si="66"/>
        <v>-190.69006192510497</v>
      </c>
      <c r="BX56" s="4">
        <f t="shared" si="67"/>
        <v>-1199.6097748298566</v>
      </c>
      <c r="BY56" s="4">
        <f t="shared" si="68"/>
        <v>-3920.915034729845</v>
      </c>
      <c r="BZ56" s="6">
        <f t="shared" si="69"/>
        <v>-0.78485551133599074</v>
      </c>
      <c r="CA56" s="7"/>
      <c r="CB56" s="6">
        <v>-0.78486031120746702</v>
      </c>
      <c r="CC56" s="6"/>
    </row>
    <row r="57" spans="1:81" x14ac:dyDescent="0.3">
      <c r="A57" s="4">
        <v>55</v>
      </c>
      <c r="B57" s="4">
        <v>44446342</v>
      </c>
      <c r="C57" s="4">
        <v>13.292</v>
      </c>
      <c r="D57" s="4">
        <v>6.1550000000000002</v>
      </c>
      <c r="E57" s="4">
        <v>0.747</v>
      </c>
      <c r="F57" s="4">
        <v>3.0150000000000001</v>
      </c>
      <c r="H57" s="6">
        <v>-2618.81325553337</v>
      </c>
      <c r="I57" s="4">
        <f t="shared" si="0"/>
        <v>616.91896551319996</v>
      </c>
      <c r="J57" s="4">
        <f t="shared" si="1"/>
        <v>-3029.0494464550002</v>
      </c>
      <c r="K57" s="4">
        <f t="shared" si="2"/>
        <v>1769.5134701999998</v>
      </c>
      <c r="L57" s="4">
        <f t="shared" si="3"/>
        <v>9742.9909518000004</v>
      </c>
      <c r="M57" s="4">
        <f t="shared" si="4"/>
        <v>682.65635815439657</v>
      </c>
      <c r="N57" s="4">
        <f t="shared" si="5"/>
        <v>206.96155977069017</v>
      </c>
      <c r="O57" s="4">
        <f t="shared" si="6"/>
        <v>-683.42267726539194</v>
      </c>
      <c r="P57" s="4">
        <f t="shared" si="7"/>
        <v>-1536.58941606702</v>
      </c>
      <c r="Q57" s="4">
        <f t="shared" si="8"/>
        <v>-454.64457395393754</v>
      </c>
      <c r="R57" s="4">
        <f t="shared" si="9"/>
        <v>831.99947676200998</v>
      </c>
      <c r="S57" s="4">
        <f t="shared" si="10"/>
        <v>7851.685247338276</v>
      </c>
      <c r="T57" s="4">
        <f t="shared" si="11"/>
        <v>-231.61320074453397</v>
      </c>
      <c r="U57" s="4">
        <f t="shared" si="12"/>
        <v>-4630.5679612585509</v>
      </c>
      <c r="V57" s="4">
        <f t="shared" si="13"/>
        <v>-13514.4165999825</v>
      </c>
      <c r="W57" s="4">
        <f t="shared" si="14"/>
        <v>-84.981281955420641</v>
      </c>
      <c r="X57" s="4">
        <f t="shared" si="15"/>
        <v>144.2916452933564</v>
      </c>
      <c r="Y57" s="4">
        <f t="shared" si="16"/>
        <v>78.498800978884603</v>
      </c>
      <c r="Z57" s="4">
        <f t="shared" si="17"/>
        <v>-1397.0499364785944</v>
      </c>
      <c r="AA57" s="4">
        <f t="shared" si="18"/>
        <v>116.99481152301284</v>
      </c>
      <c r="AB57" s="4">
        <f t="shared" si="19"/>
        <v>-658.54874967758178</v>
      </c>
      <c r="AC57" s="4">
        <f t="shared" si="20"/>
        <v>8.560935806076948</v>
      </c>
      <c r="AD57" s="4">
        <f t="shared" si="21"/>
        <v>608.55542719389666</v>
      </c>
      <c r="AE57" s="4">
        <f t="shared" si="22"/>
        <v>595.9815655119902</v>
      </c>
      <c r="AF57" s="4">
        <f t="shared" si="23"/>
        <v>1443.36063663654</v>
      </c>
      <c r="AG57" s="4">
        <f t="shared" si="24"/>
        <v>-100.94589142455088</v>
      </c>
      <c r="AH57" s="4">
        <f t="shared" si="25"/>
        <v>447.16694677800422</v>
      </c>
      <c r="AI57" s="4">
        <f t="shared" si="26"/>
        <v>550.57121693623867</v>
      </c>
      <c r="AJ57" s="4">
        <f t="shared" si="27"/>
        <v>-50.494441857657876</v>
      </c>
      <c r="AK57" s="4">
        <f t="shared" si="28"/>
        <v>-1721.1460379318612</v>
      </c>
      <c r="AL57" s="4">
        <f t="shared" si="29"/>
        <v>-6524.4699317805444</v>
      </c>
      <c r="AM57" s="4">
        <f t="shared" si="30"/>
        <v>-125.47464780928891</v>
      </c>
      <c r="AN57" s="4">
        <f t="shared" si="31"/>
        <v>544.04344234397308</v>
      </c>
      <c r="AO57" s="4">
        <f t="shared" si="32"/>
        <v>4059.1957502053456</v>
      </c>
      <c r="AP57" s="4">
        <f t="shared" si="33"/>
        <v>8207.7956852576681</v>
      </c>
      <c r="AQ57" s="4">
        <f t="shared" si="34"/>
        <v>2.3036139545780721</v>
      </c>
      <c r="AR57" s="4">
        <f t="shared" si="35"/>
        <v>-19.810330928594929</v>
      </c>
      <c r="AS57" s="4">
        <f t="shared" si="36"/>
        <v>0.57557112566303126</v>
      </c>
      <c r="AT57" s="4">
        <f t="shared" si="37"/>
        <v>93.989283280302828</v>
      </c>
      <c r="AU57" s="4">
        <f t="shared" si="38"/>
        <v>27.238827234198734</v>
      </c>
      <c r="AV57" s="4">
        <f t="shared" si="39"/>
        <v>-0.24344327921224529</v>
      </c>
      <c r="AW57" s="4">
        <f t="shared" si="40"/>
        <v>-159.16021701476751</v>
      </c>
      <c r="AX57" s="4">
        <f t="shared" si="41"/>
        <v>-127.63537273332689</v>
      </c>
      <c r="AY57" s="4">
        <f t="shared" si="42"/>
        <v>157.00411056616733</v>
      </c>
      <c r="AZ57" s="4">
        <f t="shared" si="43"/>
        <v>607.78892609890704</v>
      </c>
      <c r="BA57" s="4">
        <f t="shared" si="44"/>
        <v>-2.6797997565208131</v>
      </c>
      <c r="BB57" s="4">
        <f t="shared" si="45"/>
        <v>-95.692840825147528</v>
      </c>
      <c r="BC57" s="4">
        <f t="shared" si="46"/>
        <v>-28.658100391499367</v>
      </c>
      <c r="BD57" s="4">
        <f t="shared" si="47"/>
        <v>229.06868203521503</v>
      </c>
      <c r="BE57" s="4">
        <f t="shared" si="48"/>
        <v>347.20660579103077</v>
      </c>
      <c r="BF57" s="4">
        <f t="shared" si="49"/>
        <v>-131.5556786428011</v>
      </c>
      <c r="BG57" s="4">
        <f t="shared" si="50"/>
        <v>-53.163378545126022</v>
      </c>
      <c r="BH57" s="4">
        <f t="shared" si="51"/>
        <v>-482.30686081867663</v>
      </c>
      <c r="BI57" s="4">
        <f t="shared" si="52"/>
        <v>-33.366803544643361</v>
      </c>
      <c r="BJ57" s="4">
        <f t="shared" si="53"/>
        <v>-472.17801671192558</v>
      </c>
      <c r="BK57" s="4">
        <f t="shared" si="54"/>
        <v>0.87188819357920233</v>
      </c>
      <c r="BL57" s="4">
        <f t="shared" si="55"/>
        <v>37.900433973717405</v>
      </c>
      <c r="BM57" s="4">
        <f t="shared" si="56"/>
        <v>47.075201267637851</v>
      </c>
      <c r="BN57" s="4">
        <f t="shared" si="57"/>
        <v>-60.726401696700911</v>
      </c>
      <c r="BO57" s="4">
        <f t="shared" si="58"/>
        <v>-335.30209505869914</v>
      </c>
      <c r="BP57" s="4">
        <f t="shared" si="59"/>
        <v>-116.38291460368572</v>
      </c>
      <c r="BQ57" s="4">
        <f t="shared" si="60"/>
        <v>-54.440294691033777</v>
      </c>
      <c r="BR57" s="4">
        <f t="shared" si="61"/>
        <v>166.08290160309946</v>
      </c>
      <c r="BS57" s="4">
        <f t="shared" si="62"/>
        <v>774.2263009847253</v>
      </c>
      <c r="BT57" s="4">
        <f t="shared" si="63"/>
        <v>1738.4058582490945</v>
      </c>
      <c r="BU57" s="4">
        <f t="shared" si="64"/>
        <v>14.494778357098571</v>
      </c>
      <c r="BV57" s="4">
        <f t="shared" si="65"/>
        <v>126.39495789747241</v>
      </c>
      <c r="BW57" s="4">
        <f t="shared" si="66"/>
        <v>-364.96310868363139</v>
      </c>
      <c r="BX57" s="4">
        <f t="shared" si="67"/>
        <v>-1137.3527960554809</v>
      </c>
      <c r="BY57" s="4">
        <f t="shared" si="68"/>
        <v>-1841.5220841028117</v>
      </c>
      <c r="BZ57" s="6">
        <f t="shared" si="69"/>
        <v>-0.99775364404308675</v>
      </c>
      <c r="CA57" s="7"/>
      <c r="CB57" s="6">
        <v>-0.99775814414397246</v>
      </c>
      <c r="CC57" s="6"/>
    </row>
    <row r="58" spans="1:81" x14ac:dyDescent="0.3">
      <c r="A58" s="4">
        <v>56</v>
      </c>
      <c r="B58" s="4">
        <v>10021850</v>
      </c>
      <c r="C58" s="4">
        <v>4.2469999999999999</v>
      </c>
      <c r="D58" s="4">
        <v>4.0220000000000002</v>
      </c>
      <c r="E58" s="4">
        <v>0.48499999999999999</v>
      </c>
      <c r="F58" s="4">
        <v>3.4460000000000002</v>
      </c>
      <c r="H58" s="6">
        <v>-2618.81325553337</v>
      </c>
      <c r="I58" s="4">
        <f t="shared" si="0"/>
        <v>197.11517051869998</v>
      </c>
      <c r="J58" s="4">
        <f t="shared" si="1"/>
        <v>-1979.3398657420003</v>
      </c>
      <c r="K58" s="4">
        <f t="shared" si="2"/>
        <v>1148.880901</v>
      </c>
      <c r="L58" s="4">
        <f t="shared" si="3"/>
        <v>11135.770089520001</v>
      </c>
      <c r="M58" s="4">
        <f t="shared" si="4"/>
        <v>69.692492385087377</v>
      </c>
      <c r="N58" s="4">
        <f t="shared" si="5"/>
        <v>43.211130260429179</v>
      </c>
      <c r="O58" s="4">
        <f t="shared" si="6"/>
        <v>-141.77591230785998</v>
      </c>
      <c r="P58" s="4">
        <f t="shared" si="7"/>
        <v>-561.14839164659793</v>
      </c>
      <c r="Q58" s="4">
        <f t="shared" si="8"/>
        <v>-194.13329698343003</v>
      </c>
      <c r="R58" s="4">
        <f t="shared" si="9"/>
        <v>352.98658361261994</v>
      </c>
      <c r="S58" s="4">
        <f t="shared" si="10"/>
        <v>5864.1469829990046</v>
      </c>
      <c r="T58" s="4">
        <f t="shared" si="11"/>
        <v>-97.635011523349988</v>
      </c>
      <c r="U58" s="4">
        <f t="shared" si="12"/>
        <v>-3436.2389477561001</v>
      </c>
      <c r="V58" s="4">
        <f t="shared" si="13"/>
        <v>-17654.410304893201</v>
      </c>
      <c r="W58" s="4">
        <f t="shared" si="14"/>
        <v>-2.7720372590892701</v>
      </c>
      <c r="X58" s="4">
        <f t="shared" si="15"/>
        <v>9.6258491467399239</v>
      </c>
      <c r="Y58" s="4">
        <f t="shared" si="16"/>
        <v>5.2031700144002535</v>
      </c>
      <c r="Z58" s="4">
        <f t="shared" si="17"/>
        <v>-163.01356427134212</v>
      </c>
      <c r="AA58" s="4">
        <f t="shared" si="18"/>
        <v>15.961972141072374</v>
      </c>
      <c r="AB58" s="4">
        <f t="shared" si="19"/>
        <v>-89.271946375957398</v>
      </c>
      <c r="AC58" s="4">
        <f t="shared" si="20"/>
        <v>2.0429377547467715</v>
      </c>
      <c r="AD58" s="4">
        <f t="shared" si="21"/>
        <v>81.966113263465658</v>
      </c>
      <c r="AE58" s="4">
        <f t="shared" si="22"/>
        <v>141.31030978201133</v>
      </c>
      <c r="AF58" s="4">
        <f t="shared" si="23"/>
        <v>602.45234432453174</v>
      </c>
      <c r="AG58" s="4">
        <f t="shared" si="24"/>
        <v>-28.166356673497965</v>
      </c>
      <c r="AH58" s="4">
        <f t="shared" si="25"/>
        <v>123.9706416696115</v>
      </c>
      <c r="AI58" s="4">
        <f t="shared" si="26"/>
        <v>268.70112081997189</v>
      </c>
      <c r="AJ58" s="4">
        <f t="shared" si="27"/>
        <v>-13.909126554363558</v>
      </c>
      <c r="AK58" s="4">
        <f t="shared" si="28"/>
        <v>-834.6046957553059</v>
      </c>
      <c r="AL58" s="4">
        <f t="shared" si="29"/>
        <v>-5569.4865088175402</v>
      </c>
      <c r="AM58" s="4">
        <f t="shared" si="30"/>
        <v>-34.341510671190498</v>
      </c>
      <c r="AN58" s="4">
        <f t="shared" si="31"/>
        <v>262.12220346392485</v>
      </c>
      <c r="AO58" s="4">
        <f t="shared" si="32"/>
        <v>3442.8416263657782</v>
      </c>
      <c r="AP58" s="4">
        <f t="shared" si="33"/>
        <v>12254.917925737365</v>
      </c>
      <c r="AQ58" s="4">
        <f t="shared" si="34"/>
        <v>2.4009184789400773E-2</v>
      </c>
      <c r="AR58" s="4">
        <f t="shared" si="35"/>
        <v>-0.42226153738896405</v>
      </c>
      <c r="AS58" s="4">
        <f t="shared" si="36"/>
        <v>1.2189781492423815E-2</v>
      </c>
      <c r="AT58" s="4">
        <f t="shared" si="37"/>
        <v>3.5041450878164317</v>
      </c>
      <c r="AU58" s="4">
        <f t="shared" si="38"/>
        <v>1.1874088456040601</v>
      </c>
      <c r="AV58" s="4">
        <f t="shared" si="39"/>
        <v>-1.0544276649130348E-2</v>
      </c>
      <c r="AW58" s="4">
        <f t="shared" si="40"/>
        <v>-12.13557462039349</v>
      </c>
      <c r="AX58" s="4">
        <f t="shared" si="41"/>
        <v>-5.4928429419858578</v>
      </c>
      <c r="AY58" s="4">
        <f t="shared" si="42"/>
        <v>11.894439266377981</v>
      </c>
      <c r="AZ58" s="4">
        <f t="shared" si="43"/>
        <v>81.057378318888311</v>
      </c>
      <c r="BA58" s="4">
        <f t="shared" si="44"/>
        <v>-0.23891108393814858</v>
      </c>
      <c r="BB58" s="4">
        <f t="shared" si="45"/>
        <v>-8.4765773777581401</v>
      </c>
      <c r="BC58" s="4">
        <f t="shared" si="46"/>
        <v>-4.4688451143773325</v>
      </c>
      <c r="BD58" s="4">
        <f t="shared" si="47"/>
        <v>20.161086272178277</v>
      </c>
      <c r="BE58" s="4">
        <f t="shared" si="48"/>
        <v>53.795136033699578</v>
      </c>
      <c r="BF58" s="4">
        <f t="shared" si="49"/>
        <v>-35.881571038475258</v>
      </c>
      <c r="BG58" s="4">
        <f t="shared" si="50"/>
        <v>-4.6490895482379013</v>
      </c>
      <c r="BH58" s="4">
        <f t="shared" si="51"/>
        <v>-74.248143392712862</v>
      </c>
      <c r="BI58" s="4">
        <f t="shared" si="52"/>
        <v>-9.0423972554869856</v>
      </c>
      <c r="BJ58" s="4">
        <f t="shared" si="53"/>
        <v>-225.25869406581432</v>
      </c>
      <c r="BK58" s="4">
        <f t="shared" si="54"/>
        <v>0.15897060710746538</v>
      </c>
      <c r="BL58" s="4">
        <f t="shared" si="55"/>
        <v>6.8660560846555949</v>
      </c>
      <c r="BM58" s="4">
        <f t="shared" si="56"/>
        <v>15.012816251616416</v>
      </c>
      <c r="BN58" s="4">
        <f t="shared" si="57"/>
        <v>-10.930696592917485</v>
      </c>
      <c r="BO58" s="4">
        <f t="shared" si="58"/>
        <v>-106.24619324954112</v>
      </c>
      <c r="BP58" s="4">
        <f t="shared" si="59"/>
        <v>-64.919200151798563</v>
      </c>
      <c r="BQ58" s="4">
        <f t="shared" si="60"/>
        <v>-9.7363883217343936</v>
      </c>
      <c r="BR58" s="4">
        <f t="shared" si="61"/>
        <v>52.28885873048381</v>
      </c>
      <c r="BS58" s="4">
        <f t="shared" si="62"/>
        <v>429.10045946469171</v>
      </c>
      <c r="BT58" s="4">
        <f t="shared" si="63"/>
        <v>1696.0906332477209</v>
      </c>
      <c r="BU58" s="4">
        <f t="shared" si="64"/>
        <v>2.5757050294518251</v>
      </c>
      <c r="BV58" s="4">
        <f t="shared" si="65"/>
        <v>39.538584432590689</v>
      </c>
      <c r="BW58" s="4">
        <f t="shared" si="66"/>
        <v>-200.97736782567264</v>
      </c>
      <c r="BX58" s="4">
        <f t="shared" si="67"/>
        <v>-1102.5548558698283</v>
      </c>
      <c r="BY58" s="4">
        <f t="shared" si="68"/>
        <v>-3142.5974803173417</v>
      </c>
      <c r="BZ58" s="6">
        <f t="shared" si="69"/>
        <v>-1.1609259276242483</v>
      </c>
      <c r="CA58" s="7"/>
      <c r="CB58" s="6">
        <v>-1.160924484103361</v>
      </c>
      <c r="CC58" s="6"/>
    </row>
    <row r="59" spans="1:81" x14ac:dyDescent="0.3">
      <c r="A59" s="4">
        <v>57</v>
      </c>
      <c r="B59" s="4">
        <v>15727888</v>
      </c>
      <c r="C59" s="4">
        <v>5.452</v>
      </c>
      <c r="D59" s="4">
        <v>5.7069999999999999</v>
      </c>
      <c r="E59" s="4">
        <v>0.64800000000000002</v>
      </c>
      <c r="F59" s="4">
        <v>3.9390000000000001</v>
      </c>
      <c r="H59" s="6">
        <v>-2618.81325553337</v>
      </c>
      <c r="I59" s="4">
        <f t="shared" si="0"/>
        <v>253.0425970492</v>
      </c>
      <c r="J59" s="4">
        <f t="shared" si="1"/>
        <v>-2808.5759855269998</v>
      </c>
      <c r="K59" s="4">
        <f t="shared" si="2"/>
        <v>1534.9996368</v>
      </c>
      <c r="L59" s="4">
        <f t="shared" si="3"/>
        <v>12728.90260668</v>
      </c>
      <c r="M59" s="4">
        <f t="shared" si="4"/>
        <v>114.85057362736929</v>
      </c>
      <c r="N59" s="4">
        <f t="shared" si="5"/>
        <v>78.710925441064276</v>
      </c>
      <c r="O59" s="4">
        <f t="shared" si="6"/>
        <v>-243.16961323276797</v>
      </c>
      <c r="P59" s="4">
        <f t="shared" si="7"/>
        <v>-823.42114710601197</v>
      </c>
      <c r="Q59" s="4">
        <f t="shared" si="8"/>
        <v>-390.8693736304175</v>
      </c>
      <c r="R59" s="4">
        <f t="shared" si="9"/>
        <v>669.202065123696</v>
      </c>
      <c r="S59" s="4">
        <f t="shared" si="10"/>
        <v>9511.3324359053913</v>
      </c>
      <c r="T59" s="4">
        <f t="shared" si="11"/>
        <v>-174.289858130304</v>
      </c>
      <c r="U59" s="4">
        <f t="shared" si="12"/>
        <v>-5247.9215103463212</v>
      </c>
      <c r="V59" s="4">
        <f t="shared" si="13"/>
        <v>-23067.186724541702</v>
      </c>
      <c r="W59" s="4">
        <f t="shared" si="14"/>
        <v>-5.8643491845766613</v>
      </c>
      <c r="X59" s="4">
        <f t="shared" si="15"/>
        <v>22.508783808824592</v>
      </c>
      <c r="Y59" s="4">
        <f t="shared" si="16"/>
        <v>11.456407591137557</v>
      </c>
      <c r="Z59" s="4">
        <f t="shared" si="17"/>
        <v>-307.07299394614807</v>
      </c>
      <c r="AA59" s="4">
        <f t="shared" si="18"/>
        <v>41.256439720626801</v>
      </c>
      <c r="AB59" s="4">
        <f t="shared" si="19"/>
        <v>-217.26394619833425</v>
      </c>
      <c r="AC59" s="4">
        <f t="shared" si="20"/>
        <v>4.2536841080294048</v>
      </c>
      <c r="AD59" s="4">
        <f t="shared" si="21"/>
        <v>187.83411049314066</v>
      </c>
      <c r="AE59" s="4">
        <f t="shared" si="22"/>
        <v>277.04569725177066</v>
      </c>
      <c r="AF59" s="4">
        <f t="shared" si="23"/>
        <v>1010.5032165329816</v>
      </c>
      <c r="AG59" s="4">
        <f t="shared" si="24"/>
        <v>-80.468905326889796</v>
      </c>
      <c r="AH59" s="4">
        <f t="shared" si="25"/>
        <v>333.49070125291803</v>
      </c>
      <c r="AI59" s="4">
        <f t="shared" si="26"/>
        <v>618.40329972921165</v>
      </c>
      <c r="AJ59" s="4">
        <f t="shared" si="27"/>
        <v>-35.231586442736479</v>
      </c>
      <c r="AK59" s="4">
        <f t="shared" si="28"/>
        <v>-1808.6336433321326</v>
      </c>
      <c r="AL59" s="4">
        <f t="shared" si="29"/>
        <v>-10325.768354071852</v>
      </c>
      <c r="AM59" s="4">
        <f t="shared" si="30"/>
        <v>-81.906656404432894</v>
      </c>
      <c r="AN59" s="4">
        <f t="shared" si="31"/>
        <v>534.86114821609021</v>
      </c>
      <c r="AO59" s="4">
        <f t="shared" si="32"/>
        <v>6010.2388012771326</v>
      </c>
      <c r="AP59" s="4">
        <f t="shared" si="33"/>
        <v>18303.010552829481</v>
      </c>
      <c r="AQ59" s="4">
        <f t="shared" si="34"/>
        <v>6.520362768388073E-2</v>
      </c>
      <c r="AR59" s="4">
        <f t="shared" si="35"/>
        <v>-1.2675587261059231</v>
      </c>
      <c r="AS59" s="4">
        <f t="shared" si="36"/>
        <v>3.4454816916876754E-2</v>
      </c>
      <c r="AT59" s="4">
        <f t="shared" si="37"/>
        <v>8.4737090056785487</v>
      </c>
      <c r="AU59" s="4">
        <f t="shared" si="38"/>
        <v>3.9398443513589596</v>
      </c>
      <c r="AV59" s="4">
        <f t="shared" si="39"/>
        <v>-3.2942991775639661E-2</v>
      </c>
      <c r="AW59" s="4">
        <f t="shared" si="40"/>
        <v>-32.437250249858039</v>
      </c>
      <c r="AX59" s="4">
        <f t="shared" si="41"/>
        <v>-16.158866323683856</v>
      </c>
      <c r="AY59" s="4">
        <f t="shared" si="42"/>
        <v>29.936093075266854</v>
      </c>
      <c r="AZ59" s="4">
        <f t="shared" si="43"/>
        <v>174.5344415547132</v>
      </c>
      <c r="BA59" s="4">
        <f t="shared" si="44"/>
        <v>-0.87620818086689534</v>
      </c>
      <c r="BB59" s="4">
        <f t="shared" si="45"/>
        <v>-29.272444874165338</v>
      </c>
      <c r="BC59" s="4">
        <f t="shared" si="46"/>
        <v>-13.202957009348619</v>
      </c>
      <c r="BD59" s="4">
        <f t="shared" si="47"/>
        <v>65.557118305437101</v>
      </c>
      <c r="BE59" s="4">
        <f t="shared" si="48"/>
        <v>149.65332742864362</v>
      </c>
      <c r="BF59" s="4">
        <f t="shared" si="49"/>
        <v>-85.398896282288661</v>
      </c>
      <c r="BG59" s="4">
        <f t="shared" si="50"/>
        <v>-14.234469932182982</v>
      </c>
      <c r="BH59" s="4">
        <f t="shared" si="51"/>
        <v>-194.48961956217596</v>
      </c>
      <c r="BI59" s="4">
        <f t="shared" si="52"/>
        <v>-20.264311447164726</v>
      </c>
      <c r="BJ59" s="4">
        <f t="shared" si="53"/>
        <v>-431.88415532032485</v>
      </c>
      <c r="BK59" s="4">
        <f t="shared" si="54"/>
        <v>0.64443639267062069</v>
      </c>
      <c r="BL59" s="4">
        <f t="shared" si="55"/>
        <v>26.208250597375283</v>
      </c>
      <c r="BM59" s="4">
        <f t="shared" si="56"/>
        <v>49.02643289831169</v>
      </c>
      <c r="BN59" s="4">
        <f t="shared" si="57"/>
        <v>-39.286739459080593</v>
      </c>
      <c r="BO59" s="4">
        <f t="shared" si="58"/>
        <v>-326.69987324763997</v>
      </c>
      <c r="BP59" s="4">
        <f t="shared" si="59"/>
        <v>-170.78360960061741</v>
      </c>
      <c r="BQ59" s="4">
        <f t="shared" si="60"/>
        <v>-32.950612728442451</v>
      </c>
      <c r="BR59" s="4">
        <f t="shared" si="61"/>
        <v>151.39523674405436</v>
      </c>
      <c r="BS59" s="4">
        <f t="shared" si="62"/>
        <v>1062.9172824757266</v>
      </c>
      <c r="BT59" s="4">
        <f t="shared" si="63"/>
        <v>3594.4047965006662</v>
      </c>
      <c r="BU59" s="4">
        <f t="shared" si="64"/>
        <v>8.2078459185394195</v>
      </c>
      <c r="BV59" s="4">
        <f t="shared" si="65"/>
        <v>107.79326485116373</v>
      </c>
      <c r="BW59" s="4">
        <f t="shared" si="66"/>
        <v>-468.76492015069215</v>
      </c>
      <c r="BX59" s="4">
        <f t="shared" si="67"/>
        <v>-2200.1160875844248</v>
      </c>
      <c r="BY59" s="4">
        <f t="shared" si="68"/>
        <v>-5365.023007531141</v>
      </c>
      <c r="BZ59" s="6">
        <f t="shared" si="69"/>
        <v>-0.90701217470814299</v>
      </c>
      <c r="CA59" s="7"/>
      <c r="CB59" s="6">
        <v>-0.90701688473154718</v>
      </c>
      <c r="CC59" s="6"/>
    </row>
    <row r="60" spans="1:81" x14ac:dyDescent="0.3">
      <c r="A60" s="4">
        <v>58</v>
      </c>
      <c r="B60" s="4">
        <v>122187928</v>
      </c>
      <c r="C60" s="4">
        <v>5.1150000000000002</v>
      </c>
      <c r="D60" s="4">
        <v>3.22</v>
      </c>
      <c r="E60" s="4">
        <v>0.44900000000000001</v>
      </c>
      <c r="F60" s="4">
        <v>2.9940000000000002</v>
      </c>
      <c r="H60" s="6">
        <v>-2618.81325553337</v>
      </c>
      <c r="I60" s="4">
        <f t="shared" si="0"/>
        <v>237.40148274150002</v>
      </c>
      <c r="J60" s="4">
        <f t="shared" si="1"/>
        <v>-1584.6530004200001</v>
      </c>
      <c r="K60" s="4">
        <f t="shared" si="2"/>
        <v>1063.6031433999999</v>
      </c>
      <c r="L60" s="4">
        <f t="shared" si="3"/>
        <v>9675.1293232799999</v>
      </c>
      <c r="M60" s="4">
        <f t="shared" si="4"/>
        <v>101.09106000234451</v>
      </c>
      <c r="N60" s="4">
        <f t="shared" si="5"/>
        <v>41.665136470881002</v>
      </c>
      <c r="O60" s="4">
        <f t="shared" si="6"/>
        <v>-158.07763508658002</v>
      </c>
      <c r="P60" s="4">
        <f t="shared" si="7"/>
        <v>-587.18860957448999</v>
      </c>
      <c r="Q60" s="4">
        <f t="shared" si="8"/>
        <v>-124.43072774300002</v>
      </c>
      <c r="R60" s="4">
        <f t="shared" si="9"/>
        <v>261.62341290708002</v>
      </c>
      <c r="S60" s="4">
        <f t="shared" si="10"/>
        <v>4079.0138088495605</v>
      </c>
      <c r="T60" s="4">
        <f t="shared" si="11"/>
        <v>-83.678673432325994</v>
      </c>
      <c r="U60" s="4">
        <f t="shared" si="12"/>
        <v>-2763.9137173248605</v>
      </c>
      <c r="V60" s="4">
        <f t="shared" si="13"/>
        <v>-13326.811703917203</v>
      </c>
      <c r="W60" s="4">
        <f t="shared" si="14"/>
        <v>-4.8427181614062293</v>
      </c>
      <c r="X60" s="4">
        <f t="shared" si="15"/>
        <v>11.178399093286542</v>
      </c>
      <c r="Y60" s="4">
        <f t="shared" si="16"/>
        <v>6.9871388427044447</v>
      </c>
      <c r="Z60" s="4">
        <f t="shared" si="17"/>
        <v>-205.44095268256464</v>
      </c>
      <c r="AA60" s="4">
        <f t="shared" si="18"/>
        <v>12.321895929024068</v>
      </c>
      <c r="AB60" s="4">
        <f t="shared" si="19"/>
        <v>-79.688708544371849</v>
      </c>
      <c r="AC60" s="4">
        <f t="shared" si="20"/>
        <v>1.7114682228393661</v>
      </c>
      <c r="AD60" s="4">
        <f t="shared" si="21"/>
        <v>84.607122269316932</v>
      </c>
      <c r="AE60" s="4">
        <f t="shared" si="22"/>
        <v>136.89208895316798</v>
      </c>
      <c r="AF60" s="4">
        <f t="shared" si="23"/>
        <v>547.72065839901916</v>
      </c>
      <c r="AG60" s="4">
        <f t="shared" si="24"/>
        <v>-14.453468850071333</v>
      </c>
      <c r="AH60" s="4">
        <f t="shared" si="25"/>
        <v>73.561582316467295</v>
      </c>
      <c r="AI60" s="4">
        <f t="shared" si="26"/>
        <v>149.63514601229124</v>
      </c>
      <c r="AJ60" s="4">
        <f t="shared" si="27"/>
        <v>-9.5438338245883365</v>
      </c>
      <c r="AK60" s="4">
        <f t="shared" si="28"/>
        <v>-537.44713807518383</v>
      </c>
      <c r="AL60" s="4">
        <f t="shared" si="29"/>
        <v>-3365.9061881542079</v>
      </c>
      <c r="AM60" s="4">
        <f t="shared" si="30"/>
        <v>-27.247910424674611</v>
      </c>
      <c r="AN60" s="4">
        <f t="shared" si="31"/>
        <v>195.18639268714756</v>
      </c>
      <c r="AO60" s="4">
        <f t="shared" si="32"/>
        <v>2405.9948502081879</v>
      </c>
      <c r="AP60" s="4">
        <f t="shared" si="33"/>
        <v>8037.4813036936366</v>
      </c>
      <c r="AQ60" s="4">
        <f t="shared" si="34"/>
        <v>5.0516228898689147E-2</v>
      </c>
      <c r="AR60" s="4">
        <f t="shared" si="35"/>
        <v>-0.59058914606790158</v>
      </c>
      <c r="AS60" s="4">
        <f t="shared" si="36"/>
        <v>1.9714721860282784E-2</v>
      </c>
      <c r="AT60" s="4">
        <f t="shared" si="37"/>
        <v>5.3187396674166925</v>
      </c>
      <c r="AU60" s="4">
        <f t="shared" si="38"/>
        <v>1.1039633225116368</v>
      </c>
      <c r="AV60" s="4">
        <f t="shared" si="39"/>
        <v>-1.1336055249206623E-2</v>
      </c>
      <c r="AW60" s="4">
        <f t="shared" si="40"/>
        <v>-12.244397710385622</v>
      </c>
      <c r="AX60" s="4">
        <f t="shared" si="41"/>
        <v>-6.8286230587155297</v>
      </c>
      <c r="AY60" s="4">
        <f t="shared" si="42"/>
        <v>13.877519700841974</v>
      </c>
      <c r="AZ60" s="4">
        <f t="shared" si="43"/>
        <v>88.754902842846974</v>
      </c>
      <c r="BA60" s="4">
        <f t="shared" si="44"/>
        <v>-0.1476525976999209</v>
      </c>
      <c r="BB60" s="4">
        <f t="shared" si="45"/>
        <v>-6.0578166022867403</v>
      </c>
      <c r="BC60" s="4">
        <f t="shared" si="46"/>
        <v>-2.997248928004058</v>
      </c>
      <c r="BD60" s="4">
        <f t="shared" si="47"/>
        <v>16.660971263815149</v>
      </c>
      <c r="BE60" s="4">
        <f t="shared" si="48"/>
        <v>41.721634856403277</v>
      </c>
      <c r="BF60" s="4">
        <f t="shared" si="49"/>
        <v>-26.116903129878157</v>
      </c>
      <c r="BG60" s="4">
        <f t="shared" si="50"/>
        <v>-4.4426806436788722</v>
      </c>
      <c r="BH60" s="4">
        <f t="shared" si="51"/>
        <v>-66.587805629922855</v>
      </c>
      <c r="BI60" s="4">
        <f t="shared" si="52"/>
        <v>-7.6107000849688289</v>
      </c>
      <c r="BJ60" s="4">
        <f t="shared" si="53"/>
        <v>-177.93218328191156</v>
      </c>
      <c r="BK60" s="4">
        <f t="shared" si="54"/>
        <v>6.530885271458825E-2</v>
      </c>
      <c r="BL60" s="4">
        <f t="shared" si="55"/>
        <v>3.2617702350533397</v>
      </c>
      <c r="BM60" s="4">
        <f t="shared" si="56"/>
        <v>6.693297185577312</v>
      </c>
      <c r="BN60" s="4">
        <f t="shared" si="57"/>
        <v>-6.0046079274002109</v>
      </c>
      <c r="BO60" s="4">
        <f t="shared" si="58"/>
        <v>-54.774965740971595</v>
      </c>
      <c r="BP60" s="4">
        <f t="shared" si="59"/>
        <v>-31.410425316090166</v>
      </c>
      <c r="BQ60" s="4">
        <f t="shared" si="60"/>
        <v>-6.1847977093177606</v>
      </c>
      <c r="BR60" s="4">
        <f t="shared" si="61"/>
        <v>31.17228915024392</v>
      </c>
      <c r="BS60" s="4">
        <f t="shared" si="62"/>
        <v>240.07693237879016</v>
      </c>
      <c r="BT60" s="4">
        <f t="shared" si="63"/>
        <v>890.57895833831469</v>
      </c>
      <c r="BU60" s="4">
        <f t="shared" si="64"/>
        <v>1.8919712627715326</v>
      </c>
      <c r="BV60" s="4">
        <f t="shared" si="65"/>
        <v>27.256585305810034</v>
      </c>
      <c r="BW60" s="4">
        <f t="shared" si="66"/>
        <v>-130.02576111280163</v>
      </c>
      <c r="BX60" s="4">
        <f t="shared" si="67"/>
        <v>-669.44419101387962</v>
      </c>
      <c r="BY60" s="4">
        <f t="shared" si="68"/>
        <v>-1790.7495452303829</v>
      </c>
      <c r="BZ60" s="6">
        <f t="shared" si="69"/>
        <v>-0.98998307618717263</v>
      </c>
      <c r="CA60" s="7"/>
      <c r="CB60" s="6">
        <v>-0.9899808384766402</v>
      </c>
      <c r="CC60" s="6"/>
    </row>
    <row r="61" spans="1:81" x14ac:dyDescent="0.3">
      <c r="A61" s="4">
        <v>59</v>
      </c>
      <c r="B61" s="4">
        <v>155545534</v>
      </c>
      <c r="C61" s="4">
        <v>4.1929999999999996</v>
      </c>
      <c r="D61" s="4">
        <v>3.9769999999999999</v>
      </c>
      <c r="E61" s="4">
        <v>0.44600000000000001</v>
      </c>
      <c r="F61" s="4">
        <v>3.53</v>
      </c>
      <c r="H61" s="6">
        <v>-2618.81325553337</v>
      </c>
      <c r="I61" s="4">
        <f t="shared" si="0"/>
        <v>194.60887920529998</v>
      </c>
      <c r="J61" s="4">
        <f t="shared" si="1"/>
        <v>-1957.194093997</v>
      </c>
      <c r="K61" s="4">
        <f t="shared" si="2"/>
        <v>1056.4966635999999</v>
      </c>
      <c r="L61" s="4">
        <f t="shared" si="3"/>
        <v>11407.2166036</v>
      </c>
      <c r="M61" s="4">
        <f t="shared" si="4"/>
        <v>67.931499177764167</v>
      </c>
      <c r="N61" s="4">
        <f t="shared" si="5"/>
        <v>42.184387946394459</v>
      </c>
      <c r="O61" s="4">
        <f t="shared" si="6"/>
        <v>-128.71767070842398</v>
      </c>
      <c r="P61" s="4">
        <f t="shared" si="7"/>
        <v>-567.51815099790986</v>
      </c>
      <c r="Q61" s="4">
        <f t="shared" si="8"/>
        <v>-189.81349232651749</v>
      </c>
      <c r="R61" s="4">
        <f t="shared" si="9"/>
        <v>320.97029676481202</v>
      </c>
      <c r="S61" s="4">
        <f t="shared" si="10"/>
        <v>5939.8818184832699</v>
      </c>
      <c r="T61" s="4">
        <f t="shared" si="11"/>
        <v>-82.564208533016</v>
      </c>
      <c r="U61" s="4">
        <f t="shared" si="12"/>
        <v>-3236.9493837578002</v>
      </c>
      <c r="V61" s="4">
        <f t="shared" si="13"/>
        <v>-18525.591369929996</v>
      </c>
      <c r="W61" s="4">
        <f t="shared" si="14"/>
        <v>-2.6676378302072319</v>
      </c>
      <c r="X61" s="4">
        <f t="shared" si="15"/>
        <v>9.2776456018360118</v>
      </c>
      <c r="Y61" s="4">
        <f t="shared" si="16"/>
        <v>4.6638689609261332</v>
      </c>
      <c r="Z61" s="4">
        <f t="shared" si="17"/>
        <v>-162.76775686322409</v>
      </c>
      <c r="AA61" s="4">
        <f t="shared" si="18"/>
        <v>15.408352287548183</v>
      </c>
      <c r="AB61" s="4">
        <f t="shared" si="19"/>
        <v>-80.142751718961804</v>
      </c>
      <c r="AC61" s="4">
        <f t="shared" si="20"/>
        <v>2.0430109434285328</v>
      </c>
      <c r="AD61" s="4">
        <f t="shared" si="21"/>
        <v>68.432622494880789</v>
      </c>
      <c r="AE61" s="4">
        <f t="shared" si="22"/>
        <v>131.4222814864907</v>
      </c>
      <c r="AF61" s="4">
        <f t="shared" si="23"/>
        <v>624.14308702721064</v>
      </c>
      <c r="AG61" s="4">
        <f t="shared" si="24"/>
        <v>-27.231480205831783</v>
      </c>
      <c r="AH61" s="4">
        <f t="shared" si="25"/>
        <v>111.46512789491142</v>
      </c>
      <c r="AI61" s="4">
        <f t="shared" si="26"/>
        <v>269.1261878630051</v>
      </c>
      <c r="AJ61" s="4">
        <f t="shared" si="27"/>
        <v>-11.630533152732042</v>
      </c>
      <c r="AK61" s="4">
        <f t="shared" si="28"/>
        <v>-777.40423285731106</v>
      </c>
      <c r="AL61" s="4">
        <f t="shared" si="29"/>
        <v>-5778.9314856557312</v>
      </c>
      <c r="AM61" s="4">
        <f t="shared" si="30"/>
        <v>-26.705379628892771</v>
      </c>
      <c r="AN61" s="4">
        <f t="shared" si="31"/>
        <v>227.06462655848907</v>
      </c>
      <c r="AO61" s="4">
        <f t="shared" si="32"/>
        <v>3322.2249074676324</v>
      </c>
      <c r="AP61" s="4">
        <f t="shared" si="33"/>
        <v>13173.121693027337</v>
      </c>
      <c r="AQ61" s="4">
        <f t="shared" si="34"/>
        <v>2.2811183592090389E-2</v>
      </c>
      <c r="AR61" s="4">
        <f t="shared" si="35"/>
        <v>-0.40181195452286406</v>
      </c>
      <c r="AS61" s="4">
        <f t="shared" si="36"/>
        <v>1.0787401547556207E-2</v>
      </c>
      <c r="AT61" s="4">
        <f t="shared" si="37"/>
        <v>3.4543736816856452</v>
      </c>
      <c r="AU61" s="4">
        <f t="shared" si="38"/>
        <v>1.1316510537424169</v>
      </c>
      <c r="AV61" s="4">
        <f t="shared" si="39"/>
        <v>-9.3456312178414498E-3</v>
      </c>
      <c r="AW61" s="4">
        <f t="shared" si="40"/>
        <v>-11.98170174949929</v>
      </c>
      <c r="AX61" s="4">
        <f t="shared" si="41"/>
        <v>-4.5276059749094175</v>
      </c>
      <c r="AY61" s="4">
        <f t="shared" si="42"/>
        <v>10.921485872839165</v>
      </c>
      <c r="AZ61" s="4">
        <f t="shared" si="43"/>
        <v>82.908034680448935</v>
      </c>
      <c r="BA61" s="4">
        <f t="shared" si="44"/>
        <v>-0.22804443275246417</v>
      </c>
      <c r="BB61" s="4">
        <f t="shared" si="45"/>
        <v>-7.5245979821420814</v>
      </c>
      <c r="BC61" s="4">
        <f t="shared" si="46"/>
        <v>-4.4190039102351939</v>
      </c>
      <c r="BD61" s="4">
        <f t="shared" si="47"/>
        <v>16.643945858439857</v>
      </c>
      <c r="BE61" s="4">
        <f t="shared" si="48"/>
        <v>49.471113839489611</v>
      </c>
      <c r="BF61" s="4">
        <f t="shared" si="49"/>
        <v>-36.757540179077175</v>
      </c>
      <c r="BG61" s="4">
        <f t="shared" si="50"/>
        <v>-3.5693560610146124</v>
      </c>
      <c r="BH61" s="4">
        <f t="shared" si="51"/>
        <v>-63.500021496132234</v>
      </c>
      <c r="BI61" s="4">
        <f t="shared" si="52"/>
        <v>-8.6146605413784698</v>
      </c>
      <c r="BJ61" s="4">
        <f t="shared" si="53"/>
        <v>-239.05754775330104</v>
      </c>
      <c r="BK61" s="4">
        <f t="shared" si="54"/>
        <v>0.15197457295656236</v>
      </c>
      <c r="BL61" s="4">
        <f t="shared" si="55"/>
        <v>6.1043726922520865</v>
      </c>
      <c r="BM61" s="4">
        <f t="shared" si="56"/>
        <v>14.868329450283008</v>
      </c>
      <c r="BN61" s="4">
        <f t="shared" si="57"/>
        <v>-9.0377667618858535</v>
      </c>
      <c r="BO61" s="4">
        <f t="shared" si="58"/>
        <v>-97.857243981630333</v>
      </c>
      <c r="BP61" s="4">
        <f t="shared" si="59"/>
        <v>-66.606877466588884</v>
      </c>
      <c r="BQ61" s="4">
        <f t="shared" si="60"/>
        <v>-7.4867058782732361</v>
      </c>
      <c r="BR61" s="4">
        <f t="shared" si="61"/>
        <v>44.788689994622764</v>
      </c>
      <c r="BS61" s="4">
        <f t="shared" si="62"/>
        <v>409.43455120288479</v>
      </c>
      <c r="BT61" s="4">
        <f t="shared" si="63"/>
        <v>1802.7723036448185</v>
      </c>
      <c r="BU61" s="4">
        <f t="shared" si="64"/>
        <v>1.8419108511671172</v>
      </c>
      <c r="BV61" s="4">
        <f t="shared" si="65"/>
        <v>31.496326887714861</v>
      </c>
      <c r="BW61" s="4">
        <f t="shared" si="66"/>
        <v>-178.34143581658932</v>
      </c>
      <c r="BX61" s="4">
        <f t="shared" si="67"/>
        <v>-1089.8622832243855</v>
      </c>
      <c r="BY61" s="4">
        <f t="shared" si="68"/>
        <v>-3460.4014638344652</v>
      </c>
      <c r="BZ61" s="6">
        <f t="shared" si="69"/>
        <v>-1.1216750672047056</v>
      </c>
      <c r="CA61" s="7"/>
      <c r="CB61" s="6">
        <v>-1.1216735830630571</v>
      </c>
      <c r="CC61" s="6"/>
    </row>
    <row r="62" spans="1:81" x14ac:dyDescent="0.3">
      <c r="A62" s="4">
        <v>60</v>
      </c>
      <c r="B62" s="4">
        <v>11449431</v>
      </c>
      <c r="C62" s="4">
        <v>3.8849999999999998</v>
      </c>
      <c r="D62" s="4">
        <v>3.0750000000000002</v>
      </c>
      <c r="E62" s="4">
        <v>0.61899999999999999</v>
      </c>
      <c r="F62" s="4">
        <v>3.4569999999999999</v>
      </c>
      <c r="H62" s="6">
        <v>-2618.81325553337</v>
      </c>
      <c r="I62" s="4">
        <f t="shared" si="0"/>
        <v>180.31373615849998</v>
      </c>
      <c r="J62" s="4">
        <f t="shared" si="1"/>
        <v>-1513.294402575</v>
      </c>
      <c r="K62" s="4">
        <f t="shared" si="2"/>
        <v>1466.3036654</v>
      </c>
      <c r="L62" s="4">
        <f t="shared" si="3"/>
        <v>11171.316656839999</v>
      </c>
      <c r="M62" s="4">
        <f t="shared" si="4"/>
        <v>58.318120724944499</v>
      </c>
      <c r="N62" s="4">
        <f t="shared" si="5"/>
        <v>30.220903365896248</v>
      </c>
      <c r="O62" s="4">
        <f t="shared" si="6"/>
        <v>-165.52367617001997</v>
      </c>
      <c r="P62" s="4">
        <f t="shared" si="7"/>
        <v>-514.95655537315497</v>
      </c>
      <c r="Q62" s="4">
        <f t="shared" si="8"/>
        <v>-113.47655376093752</v>
      </c>
      <c r="R62" s="4">
        <f t="shared" si="9"/>
        <v>344.43728970704996</v>
      </c>
      <c r="S62" s="4">
        <f t="shared" si="10"/>
        <v>4497.7157749109256</v>
      </c>
      <c r="T62" s="4">
        <f t="shared" si="11"/>
        <v>-159.03891444488599</v>
      </c>
      <c r="U62" s="4">
        <f t="shared" si="12"/>
        <v>-4399.6322096087297</v>
      </c>
      <c r="V62" s="4">
        <f t="shared" si="13"/>
        <v>-17767.299721347299</v>
      </c>
      <c r="W62" s="4">
        <f t="shared" si="14"/>
        <v>-2.1219021350668967</v>
      </c>
      <c r="X62" s="4">
        <f t="shared" si="15"/>
        <v>6.1582828108150522</v>
      </c>
      <c r="Y62" s="4">
        <f t="shared" si="16"/>
        <v>5.5569239275574027</v>
      </c>
      <c r="Z62" s="4">
        <f t="shared" si="17"/>
        <v>-136.8438782968374</v>
      </c>
      <c r="AA62" s="4">
        <f t="shared" si="18"/>
        <v>8.5349585898361973</v>
      </c>
      <c r="AB62" s="4">
        <f t="shared" si="19"/>
        <v>-79.684844617086185</v>
      </c>
      <c r="AC62" s="4">
        <f t="shared" si="20"/>
        <v>1.4333460599513412</v>
      </c>
      <c r="AD62" s="4">
        <f t="shared" si="21"/>
        <v>122.13522162917137</v>
      </c>
      <c r="AE62" s="4">
        <f t="shared" si="22"/>
        <v>165.50671828782833</v>
      </c>
      <c r="AF62" s="4">
        <f t="shared" si="23"/>
        <v>554.6252962456025</v>
      </c>
      <c r="AG62" s="4">
        <f t="shared" si="24"/>
        <v>-12.58751021651269</v>
      </c>
      <c r="AH62" s="4">
        <f t="shared" si="25"/>
        <v>92.485546514022388</v>
      </c>
      <c r="AI62" s="4">
        <f t="shared" si="26"/>
        <v>157.56497762414656</v>
      </c>
      <c r="AJ62" s="4">
        <f t="shared" si="27"/>
        <v>-17.322107653380659</v>
      </c>
      <c r="AK62" s="4">
        <f t="shared" si="28"/>
        <v>-816.99028929768281</v>
      </c>
      <c r="AL62" s="4">
        <f t="shared" si="29"/>
        <v>-4285.3512322472934</v>
      </c>
      <c r="AM62" s="4">
        <f t="shared" si="30"/>
        <v>-71.394725304732887</v>
      </c>
      <c r="AN62" s="4">
        <f t="shared" si="31"/>
        <v>428.33714471175819</v>
      </c>
      <c r="AO62" s="4">
        <f t="shared" si="32"/>
        <v>4422.1571144425507</v>
      </c>
      <c r="AP62" s="4">
        <f t="shared" si="33"/>
        <v>12372.649960665934</v>
      </c>
      <c r="AQ62" s="4">
        <f t="shared" si="34"/>
        <v>1.6811732178677378E-2</v>
      </c>
      <c r="AR62" s="4">
        <f t="shared" si="35"/>
        <v>-0.24712168973203796</v>
      </c>
      <c r="AS62" s="4">
        <f t="shared" si="36"/>
        <v>1.1908885443228288E-2</v>
      </c>
      <c r="AT62" s="4">
        <f t="shared" si="37"/>
        <v>2.6908684862711838</v>
      </c>
      <c r="AU62" s="4">
        <f t="shared" si="38"/>
        <v>0.58079639478132317</v>
      </c>
      <c r="AV62" s="4">
        <f t="shared" si="39"/>
        <v>-8.6096655355195045E-3</v>
      </c>
      <c r="AW62" s="4">
        <f t="shared" si="40"/>
        <v>-7.7887009561022369</v>
      </c>
      <c r="AX62" s="4">
        <f t="shared" si="41"/>
        <v>-7.487080910809941</v>
      </c>
      <c r="AY62" s="4">
        <f t="shared" si="42"/>
        <v>12.743669925939509</v>
      </c>
      <c r="AZ62" s="4">
        <f t="shared" si="43"/>
        <v>68.261887098831764</v>
      </c>
      <c r="BA62" s="4">
        <f t="shared" si="44"/>
        <v>-9.7668433554862585E-2</v>
      </c>
      <c r="BB62" s="4">
        <f t="shared" si="45"/>
        <v>-5.7847462212234761</v>
      </c>
      <c r="BC62" s="4">
        <f t="shared" si="46"/>
        <v>-2.3971448580972772</v>
      </c>
      <c r="BD62" s="4">
        <f t="shared" si="47"/>
        <v>22.968020381170096</v>
      </c>
      <c r="BE62" s="4">
        <f t="shared" si="48"/>
        <v>48.171241892575694</v>
      </c>
      <c r="BF62" s="4">
        <f t="shared" si="49"/>
        <v>-25.255238769138867</v>
      </c>
      <c r="BG62" s="4">
        <f t="shared" si="50"/>
        <v>-8.8414481586158367</v>
      </c>
      <c r="BH62" s="4">
        <f t="shared" si="51"/>
        <v>-110.98806703838871</v>
      </c>
      <c r="BI62" s="4">
        <f t="shared" si="52"/>
        <v>-10.624523665056611</v>
      </c>
      <c r="BJ62" s="4">
        <f t="shared" si="53"/>
        <v>-208.03798727161347</v>
      </c>
      <c r="BK62" s="4">
        <f t="shared" si="54"/>
        <v>5.4316158655504418E-2</v>
      </c>
      <c r="BL62" s="4">
        <f t="shared" si="55"/>
        <v>3.9162050090092952</v>
      </c>
      <c r="BM62" s="4">
        <f t="shared" si="56"/>
        <v>6.730625663149751</v>
      </c>
      <c r="BN62" s="4">
        <f t="shared" si="57"/>
        <v>-10.407628175170457</v>
      </c>
      <c r="BO62" s="4">
        <f t="shared" si="58"/>
        <v>-79.515629778158441</v>
      </c>
      <c r="BP62" s="4">
        <f t="shared" si="59"/>
        <v>-38.189808527122146</v>
      </c>
      <c r="BQ62" s="4">
        <f t="shared" si="60"/>
        <v>-15.475606269910845</v>
      </c>
      <c r="BR62" s="4">
        <f t="shared" si="61"/>
        <v>65.327215013706592</v>
      </c>
      <c r="BS62" s="4">
        <f t="shared" si="62"/>
        <v>421.38508216176655</v>
      </c>
      <c r="BT62" s="4">
        <f t="shared" si="63"/>
        <v>1309.1952739551889</v>
      </c>
      <c r="BU62" s="4">
        <f t="shared" si="64"/>
        <v>6.8342642607219819</v>
      </c>
      <c r="BV62" s="4">
        <f t="shared" si="65"/>
        <v>82.461637424675544</v>
      </c>
      <c r="BW62" s="4">
        <f t="shared" si="66"/>
        <v>-329.46796066687517</v>
      </c>
      <c r="BX62" s="4">
        <f t="shared" si="67"/>
        <v>-1420.6969104703599</v>
      </c>
      <c r="BY62" s="4">
        <f t="shared" si="68"/>
        <v>-3182.9160463813237</v>
      </c>
      <c r="BZ62" s="6">
        <f t="shared" si="69"/>
        <v>-1.4382434282206304</v>
      </c>
      <c r="CA62" s="7"/>
      <c r="CB62" s="6">
        <v>-1.4382412719592139</v>
      </c>
      <c r="CC62" s="6"/>
    </row>
    <row r="63" spans="1:81" x14ac:dyDescent="0.3">
      <c r="A63" s="4">
        <v>61</v>
      </c>
      <c r="B63" s="4">
        <v>25269968</v>
      </c>
      <c r="C63" s="4">
        <v>5.5220000000000002</v>
      </c>
      <c r="D63" s="4">
        <v>6.2759999999999998</v>
      </c>
      <c r="E63" s="4">
        <v>0.63900000000000001</v>
      </c>
      <c r="F63" s="4">
        <v>4.008</v>
      </c>
      <c r="H63" s="6">
        <v>-2618.81325553337</v>
      </c>
      <c r="I63" s="4">
        <f t="shared" si="0"/>
        <v>256.29149319620001</v>
      </c>
      <c r="J63" s="4">
        <f t="shared" si="1"/>
        <v>-3088.5969660360001</v>
      </c>
      <c r="K63" s="4">
        <f t="shared" si="2"/>
        <v>1513.6801974</v>
      </c>
      <c r="L63" s="4">
        <f t="shared" si="3"/>
        <v>12951.87652896</v>
      </c>
      <c r="M63" s="4">
        <f t="shared" si="4"/>
        <v>117.81871423207689</v>
      </c>
      <c r="N63" s="4">
        <f t="shared" si="5"/>
        <v>87.669925224475435</v>
      </c>
      <c r="O63" s="4">
        <f t="shared" si="6"/>
        <v>-242.87102822426402</v>
      </c>
      <c r="P63" s="4">
        <f t="shared" si="7"/>
        <v>-848.60249350430399</v>
      </c>
      <c r="Q63" s="4">
        <f t="shared" si="8"/>
        <v>-472.69582617851995</v>
      </c>
      <c r="R63" s="4">
        <f t="shared" si="9"/>
        <v>725.70177805730395</v>
      </c>
      <c r="S63" s="4">
        <f t="shared" si="10"/>
        <v>10642.855253226337</v>
      </c>
      <c r="T63" s="4">
        <f t="shared" si="11"/>
        <v>-169.48209391104598</v>
      </c>
      <c r="U63" s="4">
        <f t="shared" si="12"/>
        <v>-5265.6854826247209</v>
      </c>
      <c r="V63" s="4">
        <f t="shared" si="13"/>
        <v>-23882.407001452797</v>
      </c>
      <c r="W63" s="4">
        <f t="shared" si="14"/>
        <v>-6.0931446357137604</v>
      </c>
      <c r="X63" s="4">
        <f t="shared" si="15"/>
        <v>25.392660287178359</v>
      </c>
      <c r="Y63" s="4">
        <f t="shared" si="16"/>
        <v>11.589252335155637</v>
      </c>
      <c r="Z63" s="4">
        <f t="shared" si="17"/>
        <v>-320.52688704033358</v>
      </c>
      <c r="AA63" s="4">
        <f t="shared" si="18"/>
        <v>50.533854678390846</v>
      </c>
      <c r="AB63" s="4">
        <f t="shared" si="19"/>
        <v>-238.63224841437128</v>
      </c>
      <c r="AC63" s="4">
        <f t="shared" si="20"/>
        <v>4.8208385172739261</v>
      </c>
      <c r="AD63" s="4">
        <f t="shared" si="21"/>
        <v>184.99786750726179</v>
      </c>
      <c r="AE63" s="4">
        <f t="shared" si="22"/>
        <v>281.55260446247775</v>
      </c>
      <c r="AF63" s="4">
        <f t="shared" si="23"/>
        <v>1059.6482360101834</v>
      </c>
      <c r="AG63" s="4">
        <f t="shared" si="24"/>
        <v>-107.01712522859259</v>
      </c>
      <c r="AH63" s="4">
        <f t="shared" si="25"/>
        <v>397.70376826946108</v>
      </c>
      <c r="AI63" s="4">
        <f t="shared" si="26"/>
        <v>760.96320025203511</v>
      </c>
      <c r="AJ63" s="4">
        <f t="shared" si="27"/>
        <v>-37.675494947663161</v>
      </c>
      <c r="AK63" s="4">
        <f t="shared" si="28"/>
        <v>-1995.6907841963869</v>
      </c>
      <c r="AL63" s="4">
        <f t="shared" si="29"/>
        <v>-11756.57731941402</v>
      </c>
      <c r="AM63" s="4">
        <f t="shared" si="30"/>
        <v>-78.541059296679364</v>
      </c>
      <c r="AN63" s="4">
        <f t="shared" si="31"/>
        <v>529.21785591646551</v>
      </c>
      <c r="AO63" s="4">
        <f t="shared" si="32"/>
        <v>6136.2217301773198</v>
      </c>
      <c r="AP63" s="4">
        <f t="shared" si="33"/>
        <v>19281.806767170441</v>
      </c>
      <c r="AQ63" s="4">
        <f t="shared" si="34"/>
        <v>6.8617355983214584E-2</v>
      </c>
      <c r="AR63" s="4">
        <f t="shared" si="35"/>
        <v>-1.4483209645200763</v>
      </c>
      <c r="AS63" s="4">
        <f t="shared" si="36"/>
        <v>3.5301849917225479E-2</v>
      </c>
      <c r="AT63" s="4">
        <f t="shared" si="37"/>
        <v>8.9585339394018124</v>
      </c>
      <c r="AU63" s="4">
        <f t="shared" si="38"/>
        <v>4.8877648044286968</v>
      </c>
      <c r="AV63" s="4">
        <f t="shared" si="39"/>
        <v>-3.6647559850406755E-2</v>
      </c>
      <c r="AW63" s="4">
        <f t="shared" si="40"/>
        <v>-37.234192186683146</v>
      </c>
      <c r="AX63" s="4">
        <f t="shared" si="41"/>
        <v>-16.119208135961358</v>
      </c>
      <c r="AY63" s="4">
        <f t="shared" si="42"/>
        <v>30.813697521260121</v>
      </c>
      <c r="AZ63" s="4">
        <f t="shared" si="43"/>
        <v>185.37267419793199</v>
      </c>
      <c r="BA63" s="4">
        <f t="shared" si="44"/>
        <v>-1.1802473825502107</v>
      </c>
      <c r="BB63" s="4">
        <f t="shared" si="45"/>
        <v>-35.357009805692499</v>
      </c>
      <c r="BC63" s="4">
        <f t="shared" si="46"/>
        <v>-16.455217274387561</v>
      </c>
      <c r="BD63" s="4">
        <f t="shared" si="47"/>
        <v>71.004713124784146</v>
      </c>
      <c r="BE63" s="4">
        <f t="shared" si="48"/>
        <v>167.25132974159902</v>
      </c>
      <c r="BF63" s="4">
        <f t="shared" si="49"/>
        <v>-98.480748186650771</v>
      </c>
      <c r="BG63" s="4">
        <f t="shared" si="50"/>
        <v>-13.824817641702754</v>
      </c>
      <c r="BH63" s="4">
        <f t="shared" si="51"/>
        <v>-194.9083381520804</v>
      </c>
      <c r="BI63" s="4">
        <f t="shared" si="52"/>
        <v>-20.954713295061307</v>
      </c>
      <c r="BJ63" s="4">
        <f t="shared" si="53"/>
        <v>-460.82180694318868</v>
      </c>
      <c r="BK63" s="4">
        <f t="shared" si="54"/>
        <v>0.94249771814535999</v>
      </c>
      <c r="BL63" s="4">
        <f t="shared" si="55"/>
        <v>34.370755000429568</v>
      </c>
      <c r="BM63" s="4">
        <f t="shared" si="56"/>
        <v>66.343322111040465</v>
      </c>
      <c r="BN63" s="4">
        <f t="shared" si="57"/>
        <v>-46.20062131046749</v>
      </c>
      <c r="BO63" s="4">
        <f t="shared" si="58"/>
        <v>-396.43014840687403</v>
      </c>
      <c r="BP63" s="4">
        <f t="shared" si="59"/>
        <v>-213.83548558875705</v>
      </c>
      <c r="BQ63" s="4">
        <f t="shared" si="60"/>
        <v>-34.746903977585617</v>
      </c>
      <c r="BR63" s="4">
        <f t="shared" si="61"/>
        <v>164.7330390181653</v>
      </c>
      <c r="BS63" s="4">
        <f t="shared" si="62"/>
        <v>1193.3939924235594</v>
      </c>
      <c r="BT63" s="4">
        <f t="shared" si="63"/>
        <v>4164.1584230385452</v>
      </c>
      <c r="BU63" s="4">
        <f t="shared" si="64"/>
        <v>7.7612666443950467</v>
      </c>
      <c r="BV63" s="4">
        <f t="shared" si="65"/>
        <v>105.17461113997514</v>
      </c>
      <c r="BW63" s="4">
        <f t="shared" si="66"/>
        <v>-471.94378648880377</v>
      </c>
      <c r="BX63" s="4">
        <f t="shared" si="67"/>
        <v>-2285.5811473705708</v>
      </c>
      <c r="BY63" s="4">
        <f t="shared" si="68"/>
        <v>-5750.9357672467577</v>
      </c>
      <c r="BZ63" s="6">
        <f t="shared" si="69"/>
        <v>-0.79027304733426718</v>
      </c>
      <c r="CA63" s="7"/>
      <c r="CB63" s="6">
        <v>-0.79027933082579693</v>
      </c>
      <c r="CC63" s="6"/>
    </row>
    <row r="64" spans="1:81" x14ac:dyDescent="0.3">
      <c r="A64" s="4">
        <v>62</v>
      </c>
      <c r="B64" s="4">
        <v>171344735</v>
      </c>
      <c r="C64" s="4">
        <v>2.0920000000000001</v>
      </c>
      <c r="D64" s="4">
        <v>2.4239999999999999</v>
      </c>
      <c r="E64" s="4">
        <v>0.59299999999999997</v>
      </c>
      <c r="F64" s="4">
        <v>2.8460000000000001</v>
      </c>
      <c r="H64" s="6">
        <v>-2618.81325553337</v>
      </c>
      <c r="I64" s="4">
        <f t="shared" si="0"/>
        <v>97.0955819932</v>
      </c>
      <c r="J64" s="4">
        <f t="shared" si="1"/>
        <v>-1192.9189046639999</v>
      </c>
      <c r="K64" s="4">
        <f t="shared" si="2"/>
        <v>1404.7141737999998</v>
      </c>
      <c r="L64" s="4">
        <f t="shared" si="3"/>
        <v>9196.8664175200011</v>
      </c>
      <c r="M64" s="4">
        <f t="shared" si="4"/>
        <v>16.910047779740481</v>
      </c>
      <c r="N64" s="4">
        <f t="shared" si="5"/>
        <v>12.828196229876159</v>
      </c>
      <c r="O64" s="4">
        <f t="shared" si="6"/>
        <v>-85.387603460047984</v>
      </c>
      <c r="P64" s="4">
        <f t="shared" si="7"/>
        <v>-228.28467842952799</v>
      </c>
      <c r="Q64" s="4">
        <f t="shared" si="8"/>
        <v>-70.514938055520005</v>
      </c>
      <c r="R64" s="4">
        <f t="shared" si="9"/>
        <v>260.11278732715198</v>
      </c>
      <c r="S64" s="4">
        <f t="shared" si="10"/>
        <v>2918.8717890403682</v>
      </c>
      <c r="T64" s="4">
        <f t="shared" si="11"/>
        <v>-145.95920572717398</v>
      </c>
      <c r="U64" s="4">
        <f t="shared" si="12"/>
        <v>-3469.8918063501801</v>
      </c>
      <c r="V64" s="4">
        <f t="shared" si="13"/>
        <v>-12041.829147853201</v>
      </c>
      <c r="W64" s="4">
        <f t="shared" si="14"/>
        <v>-0.33131211810158889</v>
      </c>
      <c r="X64" s="4">
        <f t="shared" si="15"/>
        <v>1.4076297562110034</v>
      </c>
      <c r="Y64" s="4">
        <f t="shared" si="16"/>
        <v>1.5436179137696691</v>
      </c>
      <c r="Z64" s="4">
        <f t="shared" si="17"/>
        <v>-32.666469851756432</v>
      </c>
      <c r="AA64" s="4">
        <f t="shared" si="18"/>
        <v>2.8559267623364497</v>
      </c>
      <c r="AB64" s="4">
        <f t="shared" si="19"/>
        <v>-32.403948024732912</v>
      </c>
      <c r="AC64" s="4">
        <f t="shared" si="20"/>
        <v>0.50089272683763986</v>
      </c>
      <c r="AD64" s="4">
        <f t="shared" si="21"/>
        <v>60.358671253180653</v>
      </c>
      <c r="AE64" s="4">
        <f t="shared" si="22"/>
        <v>70.288754058510293</v>
      </c>
      <c r="AF64" s="4">
        <f t="shared" si="23"/>
        <v>202.41438027421387</v>
      </c>
      <c r="AG64" s="4">
        <f t="shared" si="24"/>
        <v>-6.1659829884345196</v>
      </c>
      <c r="AH64" s="4">
        <f t="shared" si="25"/>
        <v>55.057045499262372</v>
      </c>
      <c r="AI64" s="4">
        <f t="shared" si="26"/>
        <v>80.606525047234499</v>
      </c>
      <c r="AJ64" s="4">
        <f t="shared" si="27"/>
        <v>-12.531882590873069</v>
      </c>
      <c r="AK64" s="4">
        <f t="shared" si="28"/>
        <v>-507.93010065469758</v>
      </c>
      <c r="AL64" s="4">
        <f t="shared" si="29"/>
        <v>-2289.5226840956302</v>
      </c>
      <c r="AM64" s="4">
        <f t="shared" si="30"/>
        <v>-62.770886189520105</v>
      </c>
      <c r="AN64" s="4">
        <f t="shared" si="31"/>
        <v>323.63042402119743</v>
      </c>
      <c r="AO64" s="4">
        <f t="shared" si="32"/>
        <v>2871.2383448427877</v>
      </c>
      <c r="AP64" s="4">
        <f t="shared" si="33"/>
        <v>6903.4991374981264</v>
      </c>
      <c r="AQ64" s="4">
        <f t="shared" si="34"/>
        <v>1.4134976508076043E-3</v>
      </c>
      <c r="AR64" s="4">
        <f t="shared" si="35"/>
        <v>-3.0416576529705915E-2</v>
      </c>
      <c r="AS64" s="4">
        <f t="shared" si="36"/>
        <v>1.7813412839607296E-3</v>
      </c>
      <c r="AT64" s="4">
        <f t="shared" si="37"/>
        <v>0.34589155591368004</v>
      </c>
      <c r="AU64" s="4">
        <f t="shared" si="38"/>
        <v>0.10465023712986248</v>
      </c>
      <c r="AV64" s="4">
        <f t="shared" si="39"/>
        <v>-1.885294212578518E-3</v>
      </c>
      <c r="AW64" s="4">
        <f t="shared" si="40"/>
        <v>-1.4656469052275527</v>
      </c>
      <c r="AX64" s="4">
        <f t="shared" si="41"/>
        <v>-1.9924247561330422</v>
      </c>
      <c r="AY64" s="4">
        <f t="shared" si="42"/>
        <v>2.9143076004638813</v>
      </c>
      <c r="AZ64" s="4">
        <f t="shared" si="43"/>
        <v>13.414998754959116</v>
      </c>
      <c r="BA64" s="4">
        <f t="shared" si="44"/>
        <v>-2.5762462082857301E-2</v>
      </c>
      <c r="BB64" s="4">
        <f t="shared" si="45"/>
        <v>-1.8543597975243518</v>
      </c>
      <c r="BC64" s="4">
        <f t="shared" si="46"/>
        <v>-0.66035191713675556</v>
      </c>
      <c r="BD64" s="4">
        <f t="shared" si="47"/>
        <v>8.9476668589261159</v>
      </c>
      <c r="BE64" s="4">
        <f t="shared" si="48"/>
        <v>16.126701816736929</v>
      </c>
      <c r="BF64" s="4">
        <f t="shared" si="49"/>
        <v>-7.2657535646790379</v>
      </c>
      <c r="BG64" s="4">
        <f t="shared" si="50"/>
        <v>-4.1858744192855131</v>
      </c>
      <c r="BH64" s="4">
        <f t="shared" si="51"/>
        <v>-45.155489004630311</v>
      </c>
      <c r="BI64" s="4">
        <f t="shared" si="52"/>
        <v>-3.7146269222660622</v>
      </c>
      <c r="BJ64" s="4">
        <f t="shared" si="53"/>
        <v>-62.505732510692503</v>
      </c>
      <c r="BK64" s="4">
        <f t="shared" si="54"/>
        <v>2.0973892113927216E-2</v>
      </c>
      <c r="BL64" s="4">
        <f t="shared" si="55"/>
        <v>1.8377733484340095</v>
      </c>
      <c r="BM64" s="4">
        <f t="shared" si="56"/>
        <v>2.7142724552794575</v>
      </c>
      <c r="BN64" s="4">
        <f t="shared" si="57"/>
        <v>-5.9354663557658274</v>
      </c>
      <c r="BO64" s="4">
        <f t="shared" si="58"/>
        <v>-38.969699266078493</v>
      </c>
      <c r="BP64" s="4">
        <f t="shared" si="59"/>
        <v>-16.083979249270744</v>
      </c>
      <c r="BQ64" s="4">
        <f t="shared" si="60"/>
        <v>-10.725740868414796</v>
      </c>
      <c r="BR64" s="4">
        <f t="shared" si="61"/>
        <v>38.908567738924717</v>
      </c>
      <c r="BS64" s="4">
        <f t="shared" si="62"/>
        <v>215.67595454485902</v>
      </c>
      <c r="BT64" s="4">
        <f t="shared" si="63"/>
        <v>575.83554966689394</v>
      </c>
      <c r="BU64" s="4">
        <f t="shared" si="64"/>
        <v>5.7563599782636725</v>
      </c>
      <c r="BV64" s="4">
        <f t="shared" si="65"/>
        <v>59.68697974857502</v>
      </c>
      <c r="BW64" s="4">
        <f t="shared" si="66"/>
        <v>-204.93319399618085</v>
      </c>
      <c r="BX64" s="4">
        <f t="shared" si="67"/>
        <v>-759.40251128111936</v>
      </c>
      <c r="BY64" s="4">
        <f t="shared" si="68"/>
        <v>-1462.0669112928047</v>
      </c>
      <c r="BZ64" s="6">
        <f t="shared" si="69"/>
        <v>-1.8044466463907156</v>
      </c>
      <c r="CA64" s="7"/>
      <c r="CB64" s="6">
        <v>-1.804443552751309</v>
      </c>
      <c r="CC64" s="6"/>
    </row>
    <row r="65" spans="1:81" x14ac:dyDescent="0.3">
      <c r="A65" s="4">
        <v>63</v>
      </c>
      <c r="B65" s="4">
        <v>5961012</v>
      </c>
      <c r="C65" s="4">
        <v>4.2729999999999997</v>
      </c>
      <c r="D65" s="4">
        <v>3.5110000000000001</v>
      </c>
      <c r="E65" s="4">
        <v>0.45500000000000002</v>
      </c>
      <c r="F65" s="4">
        <v>3.5070000000000001</v>
      </c>
      <c r="H65" s="6">
        <v>-2618.81325553337</v>
      </c>
      <c r="I65" s="4">
        <f t="shared" si="0"/>
        <v>198.32190337329999</v>
      </c>
      <c r="J65" s="4">
        <f t="shared" si="1"/>
        <v>-1727.8623243710001</v>
      </c>
      <c r="K65" s="4">
        <f t="shared" si="2"/>
        <v>1077.8161029999999</v>
      </c>
      <c r="L65" s="4">
        <f t="shared" si="3"/>
        <v>11332.89196284</v>
      </c>
      <c r="M65" s="4">
        <f t="shared" si="4"/>
        <v>70.548414833933762</v>
      </c>
      <c r="N65" s="4">
        <f t="shared" si="5"/>
        <v>37.952030922314805</v>
      </c>
      <c r="O65" s="4">
        <f t="shared" si="6"/>
        <v>-133.82052842522</v>
      </c>
      <c r="P65" s="4">
        <f t="shared" si="7"/>
        <v>-574.577806573869</v>
      </c>
      <c r="Q65" s="4">
        <f t="shared" si="8"/>
        <v>-147.93725521835751</v>
      </c>
      <c r="R65" s="4">
        <f t="shared" si="9"/>
        <v>289.07905091792998</v>
      </c>
      <c r="S65" s="4">
        <f t="shared" si="10"/>
        <v>5209.7166499072591</v>
      </c>
      <c r="T65" s="4">
        <f t="shared" si="11"/>
        <v>-85.930017050149999</v>
      </c>
      <c r="U65" s="4">
        <f t="shared" si="12"/>
        <v>-3280.7527899373504</v>
      </c>
      <c r="V65" s="4">
        <f t="shared" si="13"/>
        <v>-18284.967860487301</v>
      </c>
      <c r="W65" s="4">
        <f t="shared" si="14"/>
        <v>-2.8232605444006178</v>
      </c>
      <c r="X65" s="4">
        <f t="shared" si="15"/>
        <v>8.506072462805605</v>
      </c>
      <c r="Y65" s="4">
        <f t="shared" si="16"/>
        <v>4.9412740197010887</v>
      </c>
      <c r="Z65" s="4">
        <f t="shared" si="17"/>
        <v>-167.93665545638876</v>
      </c>
      <c r="AA65" s="4">
        <f t="shared" si="18"/>
        <v>12.238119982995538</v>
      </c>
      <c r="AB65" s="4">
        <f t="shared" si="19"/>
        <v>-73.55700820245346</v>
      </c>
      <c r="AC65" s="4">
        <f t="shared" si="20"/>
        <v>1.8260599117573948</v>
      </c>
      <c r="AD65" s="4">
        <f t="shared" si="21"/>
        <v>72.581224328955614</v>
      </c>
      <c r="AE65" s="4">
        <f t="shared" si="22"/>
        <v>135.74212108016621</v>
      </c>
      <c r="AF65" s="4">
        <f t="shared" si="23"/>
        <v>627.78988792303551</v>
      </c>
      <c r="AG65" s="4">
        <f t="shared" si="24"/>
        <v>-18.736866571505448</v>
      </c>
      <c r="AH65" s="4">
        <f t="shared" si="25"/>
        <v>88.626996892343811</v>
      </c>
      <c r="AI65" s="4">
        <f t="shared" si="26"/>
        <v>208.38550039223216</v>
      </c>
      <c r="AJ65" s="4">
        <f t="shared" si="27"/>
        <v>-10.68631416927802</v>
      </c>
      <c r="AK65" s="4">
        <f t="shared" si="28"/>
        <v>-695.60026357500044</v>
      </c>
      <c r="AL65" s="4">
        <f t="shared" si="29"/>
        <v>-5035.5267224711924</v>
      </c>
      <c r="AM65" s="4">
        <f t="shared" si="30"/>
        <v>-28.354916315043504</v>
      </c>
      <c r="AN65" s="4">
        <f t="shared" si="31"/>
        <v>234.78136268638642</v>
      </c>
      <c r="AO65" s="4">
        <f t="shared" si="32"/>
        <v>3345.243140510157</v>
      </c>
      <c r="AP65" s="4">
        <f t="shared" si="33"/>
        <v>12917.304142850513</v>
      </c>
      <c r="AQ65" s="4">
        <f t="shared" si="34"/>
        <v>2.4602539714064724E-2</v>
      </c>
      <c r="AR65" s="4">
        <f t="shared" si="35"/>
        <v>-0.3754241302064894</v>
      </c>
      <c r="AS65" s="4">
        <f t="shared" si="36"/>
        <v>1.1647091150569814E-2</v>
      </c>
      <c r="AT65" s="4">
        <f t="shared" si="37"/>
        <v>3.6320721571622716</v>
      </c>
      <c r="AU65" s="4">
        <f t="shared" si="38"/>
        <v>0.91596540244024083</v>
      </c>
      <c r="AV65" s="4">
        <f t="shared" si="39"/>
        <v>-8.741309086496004E-3</v>
      </c>
      <c r="AW65" s="4">
        <f t="shared" si="40"/>
        <v>-10.913671178818696</v>
      </c>
      <c r="AX65" s="4">
        <f t="shared" si="41"/>
        <v>-4.893704720740077</v>
      </c>
      <c r="AY65" s="4">
        <f t="shared" si="42"/>
        <v>11.495699099759916</v>
      </c>
      <c r="AZ65" s="4">
        <f t="shared" si="43"/>
        <v>84.983536965040585</v>
      </c>
      <c r="BA65" s="4">
        <f t="shared" si="44"/>
        <v>-0.15990175123063952</v>
      </c>
      <c r="BB65" s="4">
        <f t="shared" si="45"/>
        <v>-6.0970302125859517</v>
      </c>
      <c r="BC65" s="4">
        <f t="shared" si="46"/>
        <v>-3.4869358186283099</v>
      </c>
      <c r="BD65" s="4">
        <f t="shared" si="47"/>
        <v>15.584491598697534</v>
      </c>
      <c r="BE65" s="4">
        <f t="shared" si="48"/>
        <v>45.109971833197129</v>
      </c>
      <c r="BF65" s="4">
        <f t="shared" si="49"/>
        <v>-32.640126294783549</v>
      </c>
      <c r="BG65" s="4">
        <f t="shared" si="50"/>
        <v>-3.8621355961022847</v>
      </c>
      <c r="BH65" s="4">
        <f t="shared" si="51"/>
        <v>-66.910771755999747</v>
      </c>
      <c r="BI65" s="4">
        <f t="shared" si="52"/>
        <v>-8.8398492366557893</v>
      </c>
      <c r="BJ65" s="4">
        <f t="shared" si="53"/>
        <v>-238.88763564577206</v>
      </c>
      <c r="BK65" s="4">
        <f t="shared" si="54"/>
        <v>9.2314917439744543E-2</v>
      </c>
      <c r="BL65" s="4">
        <f t="shared" si="55"/>
        <v>4.2849256856096636</v>
      </c>
      <c r="BM65" s="4">
        <f t="shared" si="56"/>
        <v>10.163632457828779</v>
      </c>
      <c r="BN65" s="4">
        <f t="shared" si="57"/>
        <v>-7.331024689472688</v>
      </c>
      <c r="BO65" s="4">
        <f t="shared" si="58"/>
        <v>-77.300277976488971</v>
      </c>
      <c r="BP65" s="4">
        <f t="shared" si="59"/>
        <v>-51.237941361503026</v>
      </c>
      <c r="BQ65" s="4">
        <f t="shared" si="60"/>
        <v>-7.0177133398276137</v>
      </c>
      <c r="BR65" s="4">
        <f t="shared" si="61"/>
        <v>40.88441001297538</v>
      </c>
      <c r="BS65" s="4">
        <f t="shared" si="62"/>
        <v>363.96396399219987</v>
      </c>
      <c r="BT65" s="4">
        <f t="shared" si="63"/>
        <v>1560.6276504080208</v>
      </c>
      <c r="BU65" s="4">
        <f t="shared" si="64"/>
        <v>1.9951463509814658</v>
      </c>
      <c r="BV65" s="4">
        <f t="shared" si="65"/>
        <v>33.223897901818951</v>
      </c>
      <c r="BW65" s="4">
        <f t="shared" si="66"/>
        <v>-183.20083790902206</v>
      </c>
      <c r="BX65" s="4">
        <f t="shared" si="67"/>
        <v>-1090.2631729398602</v>
      </c>
      <c r="BY65" s="4">
        <f t="shared" si="68"/>
        <v>-3371.0929631736976</v>
      </c>
      <c r="BZ65" s="6">
        <f t="shared" si="69"/>
        <v>-1.1177566925421161</v>
      </c>
      <c r="CA65" s="7"/>
      <c r="CB65" s="6">
        <v>-1.117754693194001</v>
      </c>
      <c r="CC65" s="6"/>
    </row>
    <row r="66" spans="1:81" x14ac:dyDescent="0.3">
      <c r="A66" s="4">
        <v>64</v>
      </c>
      <c r="B66" s="4">
        <v>44123766</v>
      </c>
      <c r="C66" s="4">
        <v>4.1340000000000003</v>
      </c>
      <c r="D66" s="4">
        <v>5.2679999999999998</v>
      </c>
      <c r="E66" s="4">
        <v>0.63300000000000001</v>
      </c>
      <c r="F66" s="4">
        <v>3.9009999999999998</v>
      </c>
      <c r="H66" s="6">
        <v>-2618.81325553337</v>
      </c>
      <c r="I66" s="4">
        <f t="shared" si="0"/>
        <v>191.8705238814</v>
      </c>
      <c r="J66" s="4">
        <f t="shared" si="1"/>
        <v>-2592.5316789479998</v>
      </c>
      <c r="K66" s="4">
        <f t="shared" si="2"/>
        <v>1499.4672378</v>
      </c>
      <c r="L66" s="4">
        <f t="shared" si="3"/>
        <v>12606.105374119999</v>
      </c>
      <c r="M66" s="4">
        <f t="shared" si="4"/>
        <v>66.033211403923943</v>
      </c>
      <c r="N66" s="4">
        <f t="shared" si="5"/>
        <v>55.091872979292233</v>
      </c>
      <c r="O66" s="4">
        <f t="shared" si="6"/>
        <v>-180.116140876776</v>
      </c>
      <c r="P66" s="4">
        <f t="shared" si="7"/>
        <v>-618.33895973358597</v>
      </c>
      <c r="Q66" s="4">
        <f t="shared" si="8"/>
        <v>-333.04846037148002</v>
      </c>
      <c r="R66" s="4">
        <f t="shared" si="9"/>
        <v>603.4257937653839</v>
      </c>
      <c r="S66" s="4">
        <f t="shared" si="10"/>
        <v>8694.9927546937561</v>
      </c>
      <c r="T66" s="4">
        <f t="shared" si="11"/>
        <v>-166.31427413021399</v>
      </c>
      <c r="U66" s="4">
        <f t="shared" si="12"/>
        <v>-5076.9864534882299</v>
      </c>
      <c r="V66" s="4">
        <f t="shared" si="13"/>
        <v>-22624.269745757694</v>
      </c>
      <c r="W66" s="4">
        <f t="shared" si="14"/>
        <v>-2.5566053727024967</v>
      </c>
      <c r="X66" s="4">
        <f t="shared" si="15"/>
        <v>11.945908223985272</v>
      </c>
      <c r="Y66" s="4">
        <f t="shared" si="16"/>
        <v>6.4343756294696259</v>
      </c>
      <c r="Z66" s="4">
        <f t="shared" si="17"/>
        <v>-174.84807010366279</v>
      </c>
      <c r="AA66" s="4">
        <f t="shared" si="18"/>
        <v>26.655213156596627</v>
      </c>
      <c r="AB66" s="4">
        <f t="shared" si="19"/>
        <v>-148.54871058547153</v>
      </c>
      <c r="AC66" s="4">
        <f t="shared" si="20"/>
        <v>2.948544747415188</v>
      </c>
      <c r="AD66" s="4">
        <f t="shared" si="21"/>
        <v>135.90846141804684</v>
      </c>
      <c r="AE66" s="4">
        <f t="shared" si="22"/>
        <v>203.22854523603661</v>
      </c>
      <c r="AF66" s="4">
        <f t="shared" si="23"/>
        <v>751.50567478782614</v>
      </c>
      <c r="AG66" s="4">
        <f t="shared" si="24"/>
        <v>-63.290973329479094</v>
      </c>
      <c r="AH66" s="4">
        <f t="shared" si="25"/>
        <v>277.58003141761623</v>
      </c>
      <c r="AI66" s="4">
        <f t="shared" si="26"/>
        <v>521.84022797827561</v>
      </c>
      <c r="AJ66" s="4">
        <f t="shared" si="27"/>
        <v>-31.033267252632776</v>
      </c>
      <c r="AK66" s="4">
        <f t="shared" si="28"/>
        <v>-1615.1288417563946</v>
      </c>
      <c r="AL66" s="4">
        <f t="shared" si="29"/>
        <v>-9348.4629399301884</v>
      </c>
      <c r="AM66" s="4">
        <f t="shared" si="30"/>
        <v>-76.349344007196763</v>
      </c>
      <c r="AN66" s="4">
        <f t="shared" si="31"/>
        <v>505.46190535054012</v>
      </c>
      <c r="AO66" s="4">
        <f t="shared" si="32"/>
        <v>5758.3806648688287</v>
      </c>
      <c r="AP66" s="4">
        <f t="shared" si="33"/>
        <v>17778.390394735201</v>
      </c>
      <c r="AQ66" s="4">
        <f t="shared" si="34"/>
        <v>2.1554118164409407E-2</v>
      </c>
      <c r="AR66" s="4">
        <f t="shared" si="35"/>
        <v>-0.5100935810944851</v>
      </c>
      <c r="AS66" s="4">
        <f t="shared" si="36"/>
        <v>1.4673121917721101E-2</v>
      </c>
      <c r="AT66" s="4">
        <f t="shared" si="37"/>
        <v>3.6585364879368054</v>
      </c>
      <c r="AU66" s="4">
        <f t="shared" si="38"/>
        <v>1.9301190738360969</v>
      </c>
      <c r="AV66" s="4">
        <f t="shared" si="39"/>
        <v>-1.7078860293690185E-2</v>
      </c>
      <c r="AW66" s="4">
        <f t="shared" si="40"/>
        <v>-17.049087703688411</v>
      </c>
      <c r="AX66" s="4">
        <f t="shared" si="41"/>
        <v>-8.8653839009576387</v>
      </c>
      <c r="AY66" s="4">
        <f t="shared" si="42"/>
        <v>16.651104421477264</v>
      </c>
      <c r="AZ66" s="4">
        <f t="shared" si="43"/>
        <v>98.421579403455709</v>
      </c>
      <c r="BA66" s="4">
        <f t="shared" si="44"/>
        <v>-0.52255933463327331</v>
      </c>
      <c r="BB66" s="4">
        <f t="shared" si="45"/>
        <v>-18.47473057327112</v>
      </c>
      <c r="BC66" s="4">
        <f t="shared" si="46"/>
        <v>-8.4479549892969299</v>
      </c>
      <c r="BD66" s="4">
        <f t="shared" si="47"/>
        <v>43.785446442818412</v>
      </c>
      <c r="BE66" s="4">
        <f t="shared" si="48"/>
        <v>101.33455624470393</v>
      </c>
      <c r="BF66" s="4">
        <f t="shared" si="49"/>
        <v>-58.625251072232778</v>
      </c>
      <c r="BG66" s="4">
        <f t="shared" si="50"/>
        <v>-10.061020570635465</v>
      </c>
      <c r="BH66" s="4">
        <f t="shared" si="51"/>
        <v>-139.36651163867847</v>
      </c>
      <c r="BI66" s="4">
        <f t="shared" si="52"/>
        <v>-14.721603611283767</v>
      </c>
      <c r="BJ66" s="4">
        <f t="shared" si="53"/>
        <v>-318.09131012922404</v>
      </c>
      <c r="BK66" s="4">
        <f t="shared" si="54"/>
        <v>0.46787693142459974</v>
      </c>
      <c r="BL66" s="4">
        <f t="shared" si="55"/>
        <v>20.136334550919198</v>
      </c>
      <c r="BM66" s="4">
        <f t="shared" si="56"/>
        <v>38.188618381195155</v>
      </c>
      <c r="BN66" s="4">
        <f t="shared" si="57"/>
        <v>-31.943256035096198</v>
      </c>
      <c r="BO66" s="4">
        <f t="shared" si="58"/>
        <v>-269.30438633814407</v>
      </c>
      <c r="BP66" s="4">
        <f t="shared" si="59"/>
        <v>-142.72561230558156</v>
      </c>
      <c r="BQ66" s="4">
        <f t="shared" si="60"/>
        <v>-28.352248130956507</v>
      </c>
      <c r="BR66" s="4">
        <f t="shared" si="61"/>
        <v>132.06796409045242</v>
      </c>
      <c r="BS66" s="4">
        <f t="shared" si="62"/>
        <v>940.03928912813683</v>
      </c>
      <c r="BT66" s="4">
        <f t="shared" si="63"/>
        <v>3222.8106295300377</v>
      </c>
      <c r="BU66" s="4">
        <f t="shared" si="64"/>
        <v>7.4738437072054067</v>
      </c>
      <c r="BV66" s="4">
        <f t="shared" si="65"/>
        <v>99.51022495433773</v>
      </c>
      <c r="BW66" s="4">
        <f t="shared" si="66"/>
        <v>-438.72506931351512</v>
      </c>
      <c r="BX66" s="4">
        <f t="shared" si="67"/>
        <v>-2087.585200362972</v>
      </c>
      <c r="BY66" s="4">
        <f t="shared" si="68"/>
        <v>-5160.9715707061832</v>
      </c>
      <c r="BZ66" s="6">
        <f t="shared" si="69"/>
        <v>-1.218583553200915</v>
      </c>
      <c r="CA66" s="7"/>
      <c r="CB66" s="6">
        <v>-1.218586438523289</v>
      </c>
      <c r="CC66" s="6"/>
    </row>
    <row r="67" spans="1:81" x14ac:dyDescent="0.3">
      <c r="A67" s="4">
        <v>65</v>
      </c>
      <c r="B67" s="4">
        <v>25133226</v>
      </c>
      <c r="C67" s="4">
        <v>3.2170000000000001</v>
      </c>
      <c r="D67" s="4">
        <v>3.3559999999999999</v>
      </c>
      <c r="E67" s="4">
        <v>0.58199999999999996</v>
      </c>
      <c r="F67" s="4">
        <v>3.488</v>
      </c>
      <c r="H67" s="6">
        <v>-2618.81325553337</v>
      </c>
      <c r="I67" s="4">
        <f t="shared" ref="I67:I130" si="70">$I$1*C67</f>
        <v>149.30998435570001</v>
      </c>
      <c r="J67" s="4">
        <f t="shared" ref="J67:J130" si="71">$J$1*D67</f>
        <v>-1651.5824439159999</v>
      </c>
      <c r="K67" s="4">
        <f t="shared" ref="K67:K130" si="72">$K$1*E67</f>
        <v>1378.6570811999998</v>
      </c>
      <c r="L67" s="4">
        <f t="shared" ref="L67:L130" si="73">$L$1*F67</f>
        <v>11271.493346560001</v>
      </c>
      <c r="M67" s="4">
        <f t="shared" ref="M67:M130" si="74">$M$1*C67^2</f>
        <v>39.987439509792985</v>
      </c>
      <c r="N67" s="4">
        <f t="shared" ref="N67:N130" si="75">$N$1*C67*D67</f>
        <v>27.311421950664034</v>
      </c>
      <c r="O67" s="4">
        <f t="shared" ref="O67:O130" si="76">$O$1*C67*E67</f>
        <v>-128.87019822775198</v>
      </c>
      <c r="P67" s="4">
        <f t="shared" ref="P67:P130" si="77">$P$1*C67*F67</f>
        <v>-430.236969241184</v>
      </c>
      <c r="Q67" s="4">
        <f t="shared" ref="Q67:Q130" si="78">$Q$1*D67^2</f>
        <v>-135.16361606971998</v>
      </c>
      <c r="R67" s="4">
        <f t="shared" ref="R67:R130" si="79">$R$1*D67*E67</f>
        <v>353.44295612251193</v>
      </c>
      <c r="S67" s="4">
        <f t="shared" ref="S67:S130" si="80">$S$1*D67*F67</f>
        <v>4952.7446357141762</v>
      </c>
      <c r="T67" s="4">
        <f t="shared" ref="T67:T130" si="81">$T$1*E67^2</f>
        <v>-140.59441659362398</v>
      </c>
      <c r="U67" s="4">
        <f t="shared" ref="U67:U130" si="82">$U$1*E67*F67</f>
        <v>-4173.7439755449595</v>
      </c>
      <c r="V67" s="4">
        <f t="shared" ref="V67:V130" si="83">$V$1*F67^2</f>
        <v>-18087.3783026688</v>
      </c>
      <c r="W67" s="4">
        <f t="shared" ref="W67:W130" si="84">$W$1*C67^3</f>
        <v>-1.2047736575540484</v>
      </c>
      <c r="X67" s="4">
        <f t="shared" ref="X67:X130" si="85">$X$1*(C67^2)*D67</f>
        <v>4.6084675838087206</v>
      </c>
      <c r="Y67" s="4">
        <f t="shared" ref="Y67:Y130" si="86">$Y$1*(C67^2)*E67</f>
        <v>3.5825054737950963</v>
      </c>
      <c r="Z67" s="4">
        <f t="shared" ref="Z67:Z130" si="87">$Z$1*(C67^2)*F67</f>
        <v>-94.672216760430047</v>
      </c>
      <c r="AA67" s="4">
        <f t="shared" ref="AA67:AA130" si="88">$AA$1*C67*(D67^2)</f>
        <v>8.418120152743791</v>
      </c>
      <c r="AB67" s="4">
        <f t="shared" ref="AB67:AB130" si="89">$AB$1*C67*D67*E67</f>
        <v>-67.70877172996056</v>
      </c>
      <c r="AC67" s="4">
        <f t="shared" ref="AC67:AC130" si="90">$AC$1*C67*D67*F67</f>
        <v>1.3069682079733487</v>
      </c>
      <c r="AD67" s="4">
        <f t="shared" ref="AD67:AD130" si="91">$AD$1*C67*(E67^2)</f>
        <v>89.405787702081327</v>
      </c>
      <c r="AE67" s="4">
        <f t="shared" ref="AE67:AE130" si="92">$AE$1*C67*E67*F67</f>
        <v>130.01249646229252</v>
      </c>
      <c r="AF67" s="4">
        <f t="shared" ref="AF67:AF130" si="93">$AF$1*C67*(F67^2)</f>
        <v>467.53475980437844</v>
      </c>
      <c r="AG67" s="4">
        <f t="shared" ref="AG67:AG130" si="94">$AG$1*D67^3</f>
        <v>-16.363278881510979</v>
      </c>
      <c r="AH67" s="4">
        <f t="shared" ref="AH67:AH130" si="95">$AH$1*(D67^2)*E67</f>
        <v>103.57617456614922</v>
      </c>
      <c r="AI67" s="4">
        <f t="shared" ref="AI67:AI130" si="96">$AI$1*(D67^2)*F67</f>
        <v>189.36096273254287</v>
      </c>
      <c r="AJ67" s="4">
        <f t="shared" ref="AJ67:AJ130" si="97">$AJ$1*D67*(E67^2)</f>
        <v>-16.712531415136624</v>
      </c>
      <c r="AK67" s="4">
        <f t="shared" ref="AK67:AK130" si="98">$AK$1*D67*E67*F67</f>
        <v>-845.86909744816421</v>
      </c>
      <c r="AL67" s="4">
        <f t="shared" ref="AL67:AL130" si="99">$AL$1*D67*(F67^2)</f>
        <v>-4761.2112211726662</v>
      </c>
      <c r="AM67" s="4">
        <f t="shared" ref="AM67:AM130" si="100">$AM$1*E67^3</f>
        <v>-59.342130439817176</v>
      </c>
      <c r="AN67" s="4">
        <f t="shared" ref="AN67:AN130" si="101">$AN$1*(E67^2)*F67</f>
        <v>382.05642303607789</v>
      </c>
      <c r="AO67" s="4">
        <f t="shared" ref="AO67:AO130" si="102">$AO$1*E67*(F67^2)</f>
        <v>4232.7312795031385</v>
      </c>
      <c r="AP67" s="4">
        <f t="shared" ref="AP67:AP130" si="103">$AP$1*F67^3</f>
        <v>12708.491900199633</v>
      </c>
      <c r="AQ67" s="4">
        <f t="shared" ref="AQ67:AQ130" si="104">$AQ$1*C67^4</f>
        <v>7.9041034162408014E-3</v>
      </c>
      <c r="AR67" s="4">
        <f t="shared" ref="AR67:AR130" si="105">$AR$1*(C67^3)*D67</f>
        <v>-0.15313265424314579</v>
      </c>
      <c r="AS67" s="4">
        <f t="shared" ref="AS67:AS130" si="106">$AS$1*(C67^3)*E67</f>
        <v>6.3574589779808472E-3</v>
      </c>
      <c r="AT67" s="4">
        <f t="shared" ref="AT67:AT130" si="107">$AT$1*(C67^3)*F67</f>
        <v>1.5415218415625269</v>
      </c>
      <c r="AU67" s="4">
        <f t="shared" ref="AU67:AU130" si="108">$AU$1*(C67^2)*(D67^2)</f>
        <v>0.47434863097451896</v>
      </c>
      <c r="AV67" s="4">
        <f t="shared" ref="AV67:AV130" si="109">$AV$1*(C67^2)*D67*E67</f>
        <v>-6.0578082691461112E-3</v>
      </c>
      <c r="AW67" s="4">
        <f t="shared" ref="AW67:AW130" si="110">$AW$1*(C67^2)*D67*F67</f>
        <v>-5.8808355339353771</v>
      </c>
      <c r="AX67" s="4">
        <f t="shared" ref="AX67:AX130" si="111">$AX$1*(C67^2)*(E67^2)</f>
        <v>-4.5383425531512573</v>
      </c>
      <c r="AY67" s="4">
        <f t="shared" ref="AY67:AY130" si="112">$AY$1*(C67^2)*E67*F67</f>
        <v>8.2894176629074874</v>
      </c>
      <c r="AZ67" s="4">
        <f t="shared" ref="AZ67:AZ130" si="113">$AZ$1*(C67^2)*(F67^2)</f>
        <v>47.648864887326553</v>
      </c>
      <c r="BA67" s="4">
        <f t="shared" ref="BA67:BA130" si="114">$BA$1*C67*(D67^3)</f>
        <v>-0.10513437960514231</v>
      </c>
      <c r="BB67" s="4">
        <f t="shared" ref="BB67:BB130" si="115">$BB$1*C67*(D67^2)*E67</f>
        <v>-5.364513574088015</v>
      </c>
      <c r="BC67" s="4">
        <f t="shared" ref="BC67:BC130" si="116">$BC$1*C67*(D67^2)*F67</f>
        <v>-2.3855310712720623</v>
      </c>
      <c r="BD67" s="4">
        <f t="shared" ref="BD67:BD130" si="117">$BD$1*C67*D67*(E67^2)</f>
        <v>18.349536807212743</v>
      </c>
      <c r="BE67" s="4">
        <f t="shared" ref="BE67:BE130" si="118">$BE$1*C67*D67*E67*F67</f>
        <v>41.298487362887947</v>
      </c>
      <c r="BF67" s="4">
        <f t="shared" ref="BF67:BF130" si="119">$BF$1*C67*D67*(F67^2)</f>
        <v>-23.234992789437229</v>
      </c>
      <c r="BG67" s="4">
        <f t="shared" ref="BG67:BG130" si="120">$BG$1*C67*(E67^3)</f>
        <v>-6.0852783660243324</v>
      </c>
      <c r="BH67" s="4">
        <f t="shared" ref="BH67:BH130" si="121">$BH$1*C67*(E67^2)*F67</f>
        <v>-81.974371113344304</v>
      </c>
      <c r="BI67" s="4">
        <f t="shared" ref="BI67:BI130" si="122">$BI$1*C67*E67*(F67^2)</f>
        <v>-8.4208520100753734</v>
      </c>
      <c r="BJ67" s="4">
        <f t="shared" ref="BJ67:BJ130" si="123">$BJ$1*C67*(F67^3)</f>
        <v>-176.9432383578384</v>
      </c>
      <c r="BK67" s="4">
        <f t="shared" ref="BK67:BK130" si="124">$BK$1*D67^4</f>
        <v>7.7061308026923694E-2</v>
      </c>
      <c r="BL67" s="4">
        <f t="shared" ref="BL67:BL130" si="125">$BL$1*(D67^3)*E67</f>
        <v>4.7866122764124759</v>
      </c>
      <c r="BM67" s="4">
        <f t="shared" ref="BM67:BM130" si="126">$BM$1*(D67^3)*F67</f>
        <v>8.8280143400419213</v>
      </c>
      <c r="BN67" s="4">
        <f t="shared" ref="BN67:BN130" si="127">$BN$1*(D67^2)*(E67^2)</f>
        <v>-10.958979221434392</v>
      </c>
      <c r="BO67" s="4">
        <f t="shared" ref="BO67:BO130" si="128">$BO$1*(D67^2)*E67*F67</f>
        <v>-89.849486503096941</v>
      </c>
      <c r="BP67" s="4">
        <f t="shared" ref="BP67:BP130" si="129">$BP$1*(D67^2)*(F67^2)</f>
        <v>-46.307926837925251</v>
      </c>
      <c r="BQ67" s="4">
        <f t="shared" ref="BQ67:BQ130" si="130">$BQ$1*D67*(E67^3)</f>
        <v>-14.038526004717999</v>
      </c>
      <c r="BR67" s="4">
        <f t="shared" ref="BR67:BR130" si="131">$BR$1*D67*(E67^2)*F67</f>
        <v>63.593502359947948</v>
      </c>
      <c r="BS67" s="4">
        <f t="shared" ref="BS67:BS130" si="132">$BS$1*D67*E67*(F67^2)</f>
        <v>440.19237738612878</v>
      </c>
      <c r="BT67" s="4">
        <f t="shared" ref="BT67:BT130" si="133">$BT$1*D67*(F67^3)</f>
        <v>1467.6163828152885</v>
      </c>
      <c r="BU67" s="4">
        <f t="shared" ref="BU67:BU130" si="134">$BU$1*E67^4</f>
        <v>5.3409819490713044</v>
      </c>
      <c r="BV67" s="4">
        <f t="shared" ref="BV67:BV130" si="135">$BV$1*(E67^3)*F67</f>
        <v>69.155393662656493</v>
      </c>
      <c r="BW67" s="4">
        <f t="shared" ref="BW67:BW130" si="136">$BW$1*(E67^2)*(F67^2)</f>
        <v>-296.50502123127978</v>
      </c>
      <c r="BX67" s="4">
        <f t="shared" ref="BX67:BX130" si="137">$BX$1*E67*(F67^3)</f>
        <v>-1372.0345944630462</v>
      </c>
      <c r="BY67" s="4">
        <f t="shared" ref="BY67:BY130" si="138">$BY$1*F67^4</f>
        <v>-3298.6297426960155</v>
      </c>
      <c r="BZ67" s="6">
        <f t="shared" ref="BZ67:BZ130" si="139">SUM(G67:BY67)</f>
        <v>-1.644280779147266</v>
      </c>
      <c r="CA67" s="7"/>
      <c r="CB67" s="6">
        <v>-1.6442785750864459</v>
      </c>
      <c r="CC67" s="6"/>
    </row>
    <row r="68" spans="1:81" x14ac:dyDescent="0.3">
      <c r="A68" s="4">
        <v>66</v>
      </c>
      <c r="B68" s="4">
        <v>45270097</v>
      </c>
      <c r="C68" s="4">
        <v>13.715</v>
      </c>
      <c r="D68" s="4">
        <v>5.1710000000000003</v>
      </c>
      <c r="E68" s="4">
        <v>0.46100000000000002</v>
      </c>
      <c r="F68" s="4">
        <v>3.6190000000000002</v>
      </c>
      <c r="H68" s="6">
        <v>-2618.81325553337</v>
      </c>
      <c r="I68" s="4">
        <f t="shared" si="70"/>
        <v>636.55158080149999</v>
      </c>
      <c r="J68" s="4">
        <f t="shared" si="71"/>
        <v>-2544.795237631</v>
      </c>
      <c r="K68" s="4">
        <f t="shared" si="72"/>
        <v>1092.0290626000001</v>
      </c>
      <c r="L68" s="4">
        <f t="shared" si="73"/>
        <v>11694.820648280001</v>
      </c>
      <c r="M68" s="4">
        <f t="shared" si="74"/>
        <v>726.79695347150448</v>
      </c>
      <c r="N68" s="4">
        <f t="shared" si="75"/>
        <v>179.40793548241655</v>
      </c>
      <c r="O68" s="4">
        <f t="shared" si="76"/>
        <v>-435.18627329241997</v>
      </c>
      <c r="P68" s="4">
        <f t="shared" si="77"/>
        <v>-1903.1130330362148</v>
      </c>
      <c r="Q68" s="4">
        <f t="shared" si="78"/>
        <v>-320.89649482325757</v>
      </c>
      <c r="R68" s="4">
        <f t="shared" si="79"/>
        <v>431.36991936096598</v>
      </c>
      <c r="S68" s="4">
        <f t="shared" si="80"/>
        <v>7917.9112352785851</v>
      </c>
      <c r="T68" s="4">
        <f t="shared" si="81"/>
        <v>-88.211245760246001</v>
      </c>
      <c r="U68" s="4">
        <f t="shared" si="82"/>
        <v>-3430.1716465762906</v>
      </c>
      <c r="V68" s="4">
        <f t="shared" si="83"/>
        <v>-19471.519135229701</v>
      </c>
      <c r="W68" s="4">
        <f t="shared" si="84"/>
        <v>-93.35545848855611</v>
      </c>
      <c r="X68" s="4">
        <f t="shared" si="85"/>
        <v>129.06206949280599</v>
      </c>
      <c r="Y68" s="4">
        <f t="shared" si="86"/>
        <v>51.576789540081144</v>
      </c>
      <c r="Z68" s="4">
        <f t="shared" si="87"/>
        <v>-1785.3532366667275</v>
      </c>
      <c r="AA68" s="4">
        <f t="shared" si="88"/>
        <v>85.204992480700653</v>
      </c>
      <c r="AB68" s="4">
        <f t="shared" si="89"/>
        <v>-352.30614065509559</v>
      </c>
      <c r="AC68" s="4">
        <f t="shared" si="90"/>
        <v>8.9078822370216564</v>
      </c>
      <c r="AD68" s="4">
        <f t="shared" si="91"/>
        <v>239.14773191637386</v>
      </c>
      <c r="AE68" s="4">
        <f t="shared" si="92"/>
        <v>455.53305487633503</v>
      </c>
      <c r="AF68" s="4">
        <f t="shared" si="93"/>
        <v>2145.7685202446332</v>
      </c>
      <c r="AG68" s="4">
        <f t="shared" si="94"/>
        <v>-59.858811415247608</v>
      </c>
      <c r="AH68" s="4">
        <f t="shared" si="95"/>
        <v>194.77937991831391</v>
      </c>
      <c r="AI68" s="4">
        <f t="shared" si="96"/>
        <v>466.45282859769424</v>
      </c>
      <c r="AJ68" s="4">
        <f t="shared" si="97"/>
        <v>-16.156627184920321</v>
      </c>
      <c r="AK68" s="4">
        <f t="shared" si="98"/>
        <v>-1071.1389012632528</v>
      </c>
      <c r="AL68" s="4">
        <f t="shared" si="99"/>
        <v>-7897.5838899701012</v>
      </c>
      <c r="AM68" s="4">
        <f t="shared" si="100"/>
        <v>-29.491506371209027</v>
      </c>
      <c r="AN68" s="4">
        <f t="shared" si="101"/>
        <v>248.71128632133454</v>
      </c>
      <c r="AO68" s="4">
        <f t="shared" si="102"/>
        <v>3609.2989238941414</v>
      </c>
      <c r="AP68" s="4">
        <f t="shared" si="103"/>
        <v>14194.834618624853</v>
      </c>
      <c r="AQ68" s="4">
        <f t="shared" si="104"/>
        <v>2.6111487796195365</v>
      </c>
      <c r="AR68" s="4">
        <f t="shared" si="105"/>
        <v>-18.283302674322435</v>
      </c>
      <c r="AS68" s="4">
        <f t="shared" si="106"/>
        <v>0.39020763286588378</v>
      </c>
      <c r="AT68" s="4">
        <f t="shared" si="107"/>
        <v>123.93559112044923</v>
      </c>
      <c r="AU68" s="4">
        <f t="shared" si="108"/>
        <v>20.468797278616641</v>
      </c>
      <c r="AV68" s="4">
        <f t="shared" si="109"/>
        <v>-0.13438028323999043</v>
      </c>
      <c r="AW68" s="4">
        <f t="shared" si="110"/>
        <v>-170.88078421475427</v>
      </c>
      <c r="AX68" s="4">
        <f t="shared" si="111"/>
        <v>-51.753849289964627</v>
      </c>
      <c r="AY68" s="4">
        <f t="shared" si="112"/>
        <v>123.82364146667823</v>
      </c>
      <c r="AZ68" s="4">
        <f t="shared" si="113"/>
        <v>932.32273531424187</v>
      </c>
      <c r="BA68" s="4">
        <f t="shared" si="114"/>
        <v>-1.6396353167041171</v>
      </c>
      <c r="BB68" s="4">
        <f t="shared" si="115"/>
        <v>-43.008887761446147</v>
      </c>
      <c r="BC68" s="4">
        <f t="shared" si="116"/>
        <v>-25.052271328864883</v>
      </c>
      <c r="BD68" s="4">
        <f t="shared" si="117"/>
        <v>75.627252689753618</v>
      </c>
      <c r="BE68" s="4">
        <f t="shared" si="118"/>
        <v>222.95721419207152</v>
      </c>
      <c r="BF68" s="4">
        <f t="shared" si="119"/>
        <v>-164.31003660050911</v>
      </c>
      <c r="BG68" s="4">
        <f t="shared" si="120"/>
        <v>-12.893149626171185</v>
      </c>
      <c r="BH68" s="4">
        <f t="shared" si="121"/>
        <v>-227.50494085767056</v>
      </c>
      <c r="BI68" s="4">
        <f t="shared" si="122"/>
        <v>-30.612791988603032</v>
      </c>
      <c r="BJ68" s="4">
        <f t="shared" si="123"/>
        <v>-842.5875600222821</v>
      </c>
      <c r="BK68" s="4">
        <f t="shared" si="124"/>
        <v>0.43435689393653787</v>
      </c>
      <c r="BL68" s="4">
        <f t="shared" si="125"/>
        <v>13.869600374811805</v>
      </c>
      <c r="BM68" s="4">
        <f t="shared" si="126"/>
        <v>33.506795390475993</v>
      </c>
      <c r="BN68" s="4">
        <f t="shared" si="127"/>
        <v>-16.324171779287074</v>
      </c>
      <c r="BO68" s="4">
        <f t="shared" si="128"/>
        <v>-175.31166654327316</v>
      </c>
      <c r="BP68" s="4">
        <f t="shared" si="129"/>
        <v>-118.35448592504467</v>
      </c>
      <c r="BQ68" s="4">
        <f t="shared" si="130"/>
        <v>-10.749986494766816</v>
      </c>
      <c r="BR68" s="4">
        <f t="shared" si="131"/>
        <v>63.787167569728567</v>
      </c>
      <c r="BS68" s="4">
        <f t="shared" si="132"/>
        <v>578.35867999612151</v>
      </c>
      <c r="BT68" s="4">
        <f t="shared" si="133"/>
        <v>2525.8145300045912</v>
      </c>
      <c r="BU68" s="4">
        <f t="shared" si="134"/>
        <v>2.1024848407289389</v>
      </c>
      <c r="BV68" s="4">
        <f t="shared" si="135"/>
        <v>35.659232120963196</v>
      </c>
      <c r="BW68" s="4">
        <f t="shared" si="136"/>
        <v>-200.26827063395331</v>
      </c>
      <c r="BX68" s="4">
        <f t="shared" si="137"/>
        <v>-1213.8899702621552</v>
      </c>
      <c r="BY68" s="4">
        <f t="shared" si="138"/>
        <v>-3822.8037023237493</v>
      </c>
      <c r="BZ68" s="6">
        <f t="shared" si="139"/>
        <v>-0.47988873945314481</v>
      </c>
      <c r="CA68" s="7"/>
      <c r="CB68" s="6">
        <v>-0.47989254491585598</v>
      </c>
      <c r="CC68" s="6"/>
    </row>
    <row r="69" spans="1:81" x14ac:dyDescent="0.3">
      <c r="A69" s="4">
        <v>67</v>
      </c>
      <c r="B69" s="4">
        <v>44446341</v>
      </c>
      <c r="C69" s="4">
        <v>13.292</v>
      </c>
      <c r="D69" s="4">
        <v>6.1550000000000002</v>
      </c>
      <c r="E69" s="4">
        <v>0.747</v>
      </c>
      <c r="F69" s="4">
        <v>3.0150000000000001</v>
      </c>
      <c r="H69" s="6">
        <v>-2618.81325553337</v>
      </c>
      <c r="I69" s="4">
        <f t="shared" si="70"/>
        <v>616.91896551319996</v>
      </c>
      <c r="J69" s="4">
        <f t="shared" si="71"/>
        <v>-3029.0494464550002</v>
      </c>
      <c r="K69" s="4">
        <f t="shared" si="72"/>
        <v>1769.5134701999998</v>
      </c>
      <c r="L69" s="4">
        <f t="shared" si="73"/>
        <v>9742.9909518000004</v>
      </c>
      <c r="M69" s="4">
        <f t="shared" si="74"/>
        <v>682.65635815439657</v>
      </c>
      <c r="N69" s="4">
        <f t="shared" si="75"/>
        <v>206.96155977069017</v>
      </c>
      <c r="O69" s="4">
        <f t="shared" si="76"/>
        <v>-683.42267726539194</v>
      </c>
      <c r="P69" s="4">
        <f t="shared" si="77"/>
        <v>-1536.58941606702</v>
      </c>
      <c r="Q69" s="4">
        <f t="shared" si="78"/>
        <v>-454.64457395393754</v>
      </c>
      <c r="R69" s="4">
        <f t="shared" si="79"/>
        <v>831.99947676200998</v>
      </c>
      <c r="S69" s="4">
        <f t="shared" si="80"/>
        <v>7851.685247338276</v>
      </c>
      <c r="T69" s="4">
        <f t="shared" si="81"/>
        <v>-231.61320074453397</v>
      </c>
      <c r="U69" s="4">
        <f t="shared" si="82"/>
        <v>-4630.5679612585509</v>
      </c>
      <c r="V69" s="4">
        <f t="shared" si="83"/>
        <v>-13514.4165999825</v>
      </c>
      <c r="W69" s="4">
        <f t="shared" si="84"/>
        <v>-84.981281955420641</v>
      </c>
      <c r="X69" s="4">
        <f t="shared" si="85"/>
        <v>144.2916452933564</v>
      </c>
      <c r="Y69" s="4">
        <f t="shared" si="86"/>
        <v>78.498800978884603</v>
      </c>
      <c r="Z69" s="4">
        <f t="shared" si="87"/>
        <v>-1397.0499364785944</v>
      </c>
      <c r="AA69" s="4">
        <f t="shared" si="88"/>
        <v>116.99481152301284</v>
      </c>
      <c r="AB69" s="4">
        <f t="shared" si="89"/>
        <v>-658.54874967758178</v>
      </c>
      <c r="AC69" s="4">
        <f t="shared" si="90"/>
        <v>8.560935806076948</v>
      </c>
      <c r="AD69" s="4">
        <f t="shared" si="91"/>
        <v>608.55542719389666</v>
      </c>
      <c r="AE69" s="4">
        <f t="shared" si="92"/>
        <v>595.9815655119902</v>
      </c>
      <c r="AF69" s="4">
        <f t="shared" si="93"/>
        <v>1443.36063663654</v>
      </c>
      <c r="AG69" s="4">
        <f t="shared" si="94"/>
        <v>-100.94589142455088</v>
      </c>
      <c r="AH69" s="4">
        <f t="shared" si="95"/>
        <v>447.16694677800422</v>
      </c>
      <c r="AI69" s="4">
        <f t="shared" si="96"/>
        <v>550.57121693623867</v>
      </c>
      <c r="AJ69" s="4">
        <f t="shared" si="97"/>
        <v>-50.494441857657876</v>
      </c>
      <c r="AK69" s="4">
        <f t="shared" si="98"/>
        <v>-1721.1460379318612</v>
      </c>
      <c r="AL69" s="4">
        <f t="shared" si="99"/>
        <v>-6524.4699317805444</v>
      </c>
      <c r="AM69" s="4">
        <f t="shared" si="100"/>
        <v>-125.47464780928891</v>
      </c>
      <c r="AN69" s="4">
        <f t="shared" si="101"/>
        <v>544.04344234397308</v>
      </c>
      <c r="AO69" s="4">
        <f t="shared" si="102"/>
        <v>4059.1957502053456</v>
      </c>
      <c r="AP69" s="4">
        <f t="shared" si="103"/>
        <v>8207.7956852576681</v>
      </c>
      <c r="AQ69" s="4">
        <f t="shared" si="104"/>
        <v>2.3036139545780721</v>
      </c>
      <c r="AR69" s="4">
        <f t="shared" si="105"/>
        <v>-19.810330928594929</v>
      </c>
      <c r="AS69" s="4">
        <f t="shared" si="106"/>
        <v>0.57557112566303126</v>
      </c>
      <c r="AT69" s="4">
        <f t="shared" si="107"/>
        <v>93.989283280302828</v>
      </c>
      <c r="AU69" s="4">
        <f t="shared" si="108"/>
        <v>27.238827234198734</v>
      </c>
      <c r="AV69" s="4">
        <f t="shared" si="109"/>
        <v>-0.24344327921224529</v>
      </c>
      <c r="AW69" s="4">
        <f t="shared" si="110"/>
        <v>-159.16021701476751</v>
      </c>
      <c r="AX69" s="4">
        <f t="shared" si="111"/>
        <v>-127.63537273332689</v>
      </c>
      <c r="AY69" s="4">
        <f t="shared" si="112"/>
        <v>157.00411056616733</v>
      </c>
      <c r="AZ69" s="4">
        <f t="shared" si="113"/>
        <v>607.78892609890704</v>
      </c>
      <c r="BA69" s="4">
        <f t="shared" si="114"/>
        <v>-2.6797997565208131</v>
      </c>
      <c r="BB69" s="4">
        <f t="shared" si="115"/>
        <v>-95.692840825147528</v>
      </c>
      <c r="BC69" s="4">
        <f t="shared" si="116"/>
        <v>-28.658100391499367</v>
      </c>
      <c r="BD69" s="4">
        <f t="shared" si="117"/>
        <v>229.06868203521503</v>
      </c>
      <c r="BE69" s="4">
        <f t="shared" si="118"/>
        <v>347.20660579103077</v>
      </c>
      <c r="BF69" s="4">
        <f t="shared" si="119"/>
        <v>-131.5556786428011</v>
      </c>
      <c r="BG69" s="4">
        <f t="shared" si="120"/>
        <v>-53.163378545126022</v>
      </c>
      <c r="BH69" s="4">
        <f t="shared" si="121"/>
        <v>-482.30686081867663</v>
      </c>
      <c r="BI69" s="4">
        <f t="shared" si="122"/>
        <v>-33.366803544643361</v>
      </c>
      <c r="BJ69" s="4">
        <f t="shared" si="123"/>
        <v>-472.17801671192558</v>
      </c>
      <c r="BK69" s="4">
        <f t="shared" si="124"/>
        <v>0.87188819357920233</v>
      </c>
      <c r="BL69" s="4">
        <f t="shared" si="125"/>
        <v>37.900433973717405</v>
      </c>
      <c r="BM69" s="4">
        <f t="shared" si="126"/>
        <v>47.075201267637851</v>
      </c>
      <c r="BN69" s="4">
        <f t="shared" si="127"/>
        <v>-60.726401696700911</v>
      </c>
      <c r="BO69" s="4">
        <f t="shared" si="128"/>
        <v>-335.30209505869914</v>
      </c>
      <c r="BP69" s="4">
        <f t="shared" si="129"/>
        <v>-116.38291460368572</v>
      </c>
      <c r="BQ69" s="4">
        <f t="shared" si="130"/>
        <v>-54.440294691033777</v>
      </c>
      <c r="BR69" s="4">
        <f t="shared" si="131"/>
        <v>166.08290160309946</v>
      </c>
      <c r="BS69" s="4">
        <f t="shared" si="132"/>
        <v>774.2263009847253</v>
      </c>
      <c r="BT69" s="4">
        <f t="shared" si="133"/>
        <v>1738.4058582490945</v>
      </c>
      <c r="BU69" s="4">
        <f t="shared" si="134"/>
        <v>14.494778357098571</v>
      </c>
      <c r="BV69" s="4">
        <f t="shared" si="135"/>
        <v>126.39495789747241</v>
      </c>
      <c r="BW69" s="4">
        <f t="shared" si="136"/>
        <v>-364.96310868363139</v>
      </c>
      <c r="BX69" s="4">
        <f t="shared" si="137"/>
        <v>-1137.3527960554809</v>
      </c>
      <c r="BY69" s="4">
        <f t="shared" si="138"/>
        <v>-1841.5220841028117</v>
      </c>
      <c r="BZ69" s="6">
        <f t="shared" si="139"/>
        <v>-0.99775364404308675</v>
      </c>
      <c r="CA69" s="7"/>
      <c r="CB69" s="6">
        <v>-0.99775814414215347</v>
      </c>
      <c r="CC69" s="6"/>
    </row>
    <row r="70" spans="1:81" x14ac:dyDescent="0.3">
      <c r="A70" s="4">
        <v>68</v>
      </c>
      <c r="B70" s="4">
        <v>27112649</v>
      </c>
      <c r="C70" s="4">
        <v>4.2370000000000001</v>
      </c>
      <c r="D70" s="4">
        <v>3.4689999999999999</v>
      </c>
      <c r="E70" s="4">
        <v>0.56599999999999995</v>
      </c>
      <c r="F70" s="4">
        <v>3.468</v>
      </c>
      <c r="H70" s="6">
        <v>-2618.81325553337</v>
      </c>
      <c r="I70" s="4">
        <f t="shared" si="70"/>
        <v>196.65104249770002</v>
      </c>
      <c r="J70" s="4">
        <f t="shared" si="71"/>
        <v>-1707.192937409</v>
      </c>
      <c r="K70" s="4">
        <f t="shared" si="72"/>
        <v>1340.7558555999999</v>
      </c>
      <c r="L70" s="4">
        <f t="shared" si="73"/>
        <v>11206.863224160001</v>
      </c>
      <c r="M70" s="4">
        <f t="shared" si="74"/>
        <v>69.364682433118588</v>
      </c>
      <c r="N70" s="4">
        <f t="shared" si="75"/>
        <v>37.182112688590308</v>
      </c>
      <c r="O70" s="4">
        <f t="shared" si="76"/>
        <v>-165.06437285933598</v>
      </c>
      <c r="P70" s="4">
        <f t="shared" si="77"/>
        <v>-563.40116565776395</v>
      </c>
      <c r="Q70" s="4">
        <f t="shared" si="78"/>
        <v>-144.41905451765749</v>
      </c>
      <c r="R70" s="4">
        <f t="shared" si="79"/>
        <v>355.29993260804389</v>
      </c>
      <c r="S70" s="4">
        <f t="shared" si="80"/>
        <v>5090.1537023585643</v>
      </c>
      <c r="T70" s="4">
        <f t="shared" si="81"/>
        <v>-132.97039749845595</v>
      </c>
      <c r="U70" s="4">
        <f t="shared" si="82"/>
        <v>-4035.7277798152804</v>
      </c>
      <c r="V70" s="4">
        <f t="shared" si="83"/>
        <v>-17880.548918644799</v>
      </c>
      <c r="W70" s="4">
        <f t="shared" si="84"/>
        <v>-2.7525021849144102</v>
      </c>
      <c r="X70" s="4">
        <f t="shared" si="85"/>
        <v>8.2633032482860589</v>
      </c>
      <c r="Y70" s="4">
        <f t="shared" si="86"/>
        <v>6.0435916901061209</v>
      </c>
      <c r="Z70" s="4">
        <f t="shared" si="87"/>
        <v>-163.28262175422662</v>
      </c>
      <c r="AA70" s="4">
        <f t="shared" si="88"/>
        <v>11.84642252896912</v>
      </c>
      <c r="AB70" s="4">
        <f t="shared" si="89"/>
        <v>-89.64542548938671</v>
      </c>
      <c r="AC70" s="4">
        <f t="shared" si="90"/>
        <v>1.7691203852234527</v>
      </c>
      <c r="AD70" s="4">
        <f t="shared" si="91"/>
        <v>111.36787423504005</v>
      </c>
      <c r="AE70" s="4">
        <f t="shared" si="92"/>
        <v>165.57263474962795</v>
      </c>
      <c r="AF70" s="4">
        <f t="shared" si="93"/>
        <v>608.73256152325916</v>
      </c>
      <c r="AG70" s="4">
        <f t="shared" si="94"/>
        <v>-18.072464288395196</v>
      </c>
      <c r="AH70" s="4">
        <f t="shared" si="95"/>
        <v>107.62620052439097</v>
      </c>
      <c r="AI70" s="4">
        <f t="shared" si="96"/>
        <v>201.16747316538562</v>
      </c>
      <c r="AJ70" s="4">
        <f t="shared" si="97"/>
        <v>-16.338473475102557</v>
      </c>
      <c r="AK70" s="4">
        <f t="shared" si="98"/>
        <v>-845.43761359462155</v>
      </c>
      <c r="AL70" s="4">
        <f t="shared" si="99"/>
        <v>-4865.248430716375</v>
      </c>
      <c r="AM70" s="4">
        <f t="shared" si="100"/>
        <v>-54.581249492865226</v>
      </c>
      <c r="AN70" s="4">
        <f t="shared" si="101"/>
        <v>359.26673814854826</v>
      </c>
      <c r="AO70" s="4">
        <f t="shared" si="102"/>
        <v>4069.2968217425764</v>
      </c>
      <c r="AP70" s="4">
        <f t="shared" si="103"/>
        <v>12491.133619506034</v>
      </c>
      <c r="AQ70" s="4">
        <f t="shared" si="104"/>
        <v>2.3783853782431696E-2</v>
      </c>
      <c r="AR70" s="4">
        <f t="shared" si="105"/>
        <v>-0.36163659142156351</v>
      </c>
      <c r="AS70" s="4">
        <f t="shared" si="106"/>
        <v>1.4125350153990308E-2</v>
      </c>
      <c r="AT70" s="4">
        <f t="shared" si="107"/>
        <v>3.5016642669080893</v>
      </c>
      <c r="AU70" s="4">
        <f t="shared" si="108"/>
        <v>0.87917869036458762</v>
      </c>
      <c r="AV70" s="4">
        <f t="shared" si="109"/>
        <v>-1.0563458345829725E-2</v>
      </c>
      <c r="AW70" s="4">
        <f t="shared" si="110"/>
        <v>-10.484284570988121</v>
      </c>
      <c r="AX70" s="4">
        <f t="shared" si="111"/>
        <v>-7.4455875124544244</v>
      </c>
      <c r="AY70" s="4">
        <f t="shared" si="112"/>
        <v>13.903844033398556</v>
      </c>
      <c r="AZ70" s="4">
        <f t="shared" si="113"/>
        <v>81.709507049642582</v>
      </c>
      <c r="BA70" s="4">
        <f t="shared" si="114"/>
        <v>-0.15293229379024828</v>
      </c>
      <c r="BB70" s="4">
        <f t="shared" si="115"/>
        <v>-7.3416874797092779</v>
      </c>
      <c r="BC70" s="4">
        <f t="shared" si="116"/>
        <v>-3.337795990112491</v>
      </c>
      <c r="BD70" s="4">
        <f t="shared" si="117"/>
        <v>23.626628347864127</v>
      </c>
      <c r="BE70" s="4">
        <f t="shared" si="118"/>
        <v>54.365070422514925</v>
      </c>
      <c r="BF70" s="4">
        <f t="shared" si="119"/>
        <v>-31.270693865498981</v>
      </c>
      <c r="BG70" s="4">
        <f t="shared" si="120"/>
        <v>-7.371709155668138</v>
      </c>
      <c r="BH70" s="4">
        <f t="shared" si="121"/>
        <v>-101.52546850272363</v>
      </c>
      <c r="BI70" s="4">
        <f t="shared" si="122"/>
        <v>-10.662575264343722</v>
      </c>
      <c r="BJ70" s="4">
        <f t="shared" si="123"/>
        <v>-229.05997662018552</v>
      </c>
      <c r="BK70" s="4">
        <f t="shared" si="124"/>
        <v>8.7976315017280871E-2</v>
      </c>
      <c r="BL70" s="4">
        <f t="shared" si="125"/>
        <v>5.1412502060517582</v>
      </c>
      <c r="BM70" s="4">
        <f t="shared" si="126"/>
        <v>9.6942158526059039</v>
      </c>
      <c r="BN70" s="4">
        <f t="shared" si="127"/>
        <v>-11.074437894107255</v>
      </c>
      <c r="BO70" s="4">
        <f t="shared" si="128"/>
        <v>-92.827435779681409</v>
      </c>
      <c r="BP70" s="4">
        <f t="shared" si="129"/>
        <v>-48.913107957427833</v>
      </c>
      <c r="BQ70" s="4">
        <f t="shared" si="130"/>
        <v>-13.347016523239034</v>
      </c>
      <c r="BR70" s="4">
        <f t="shared" si="131"/>
        <v>61.813679689837457</v>
      </c>
      <c r="BS70" s="4">
        <f t="shared" si="132"/>
        <v>437.44508078704075</v>
      </c>
      <c r="BT70" s="4">
        <f t="shared" si="133"/>
        <v>1491.0861504545078</v>
      </c>
      <c r="BU70" s="4">
        <f t="shared" si="134"/>
        <v>4.7774362036773743</v>
      </c>
      <c r="BV70" s="4">
        <f t="shared" si="135"/>
        <v>63.24249717394666</v>
      </c>
      <c r="BW70" s="4">
        <f t="shared" si="136"/>
        <v>-277.21975194602243</v>
      </c>
      <c r="BX70" s="4">
        <f t="shared" si="137"/>
        <v>-1311.4941144873299</v>
      </c>
      <c r="BY70" s="4">
        <f t="shared" si="138"/>
        <v>-3223.6213298992816</v>
      </c>
      <c r="BZ70" s="6">
        <f t="shared" si="139"/>
        <v>-1.3497662331055835</v>
      </c>
      <c r="CA70" s="7"/>
      <c r="CB70" s="6">
        <v>-1.349764496141233</v>
      </c>
      <c r="CC70" s="6"/>
    </row>
    <row r="71" spans="1:81" x14ac:dyDescent="0.3">
      <c r="A71" s="4">
        <v>69</v>
      </c>
      <c r="B71" s="4">
        <v>5346492</v>
      </c>
      <c r="C71" s="4">
        <v>4.4400000000000004</v>
      </c>
      <c r="D71" s="4">
        <v>3.4340000000000002</v>
      </c>
      <c r="E71" s="4">
        <v>0.47499999999999998</v>
      </c>
      <c r="F71" s="4">
        <v>3.4809999999999999</v>
      </c>
      <c r="H71" s="6">
        <v>-2618.81325553337</v>
      </c>
      <c r="I71" s="4">
        <f t="shared" si="70"/>
        <v>206.07284132400002</v>
      </c>
      <c r="J71" s="4">
        <f t="shared" si="71"/>
        <v>-1689.9684482740001</v>
      </c>
      <c r="K71" s="4">
        <f t="shared" si="72"/>
        <v>1125.1926349999999</v>
      </c>
      <c r="L71" s="4">
        <f t="shared" si="73"/>
        <v>11248.87280372</v>
      </c>
      <c r="M71" s="4">
        <f t="shared" si="74"/>
        <v>76.170606661152021</v>
      </c>
      <c r="N71" s="4">
        <f t="shared" si="75"/>
        <v>38.570437039159202</v>
      </c>
      <c r="O71" s="4">
        <f t="shared" si="76"/>
        <v>-145.162697772</v>
      </c>
      <c r="P71" s="4">
        <f t="shared" si="77"/>
        <v>-592.60755213155994</v>
      </c>
      <c r="Q71" s="4">
        <f t="shared" si="78"/>
        <v>-141.51956318087002</v>
      </c>
      <c r="R71" s="4">
        <f t="shared" si="79"/>
        <v>295.16733525389998</v>
      </c>
      <c r="S71" s="4">
        <f t="shared" si="80"/>
        <v>5057.6855194437185</v>
      </c>
      <c r="T71" s="4">
        <f t="shared" si="81"/>
        <v>-93.65033255374999</v>
      </c>
      <c r="U71" s="4">
        <f t="shared" si="82"/>
        <v>-3399.5699147022501</v>
      </c>
      <c r="V71" s="4">
        <f t="shared" si="83"/>
        <v>-18014.852728769696</v>
      </c>
      <c r="W71" s="4">
        <f t="shared" si="84"/>
        <v>-3.1673874435984009</v>
      </c>
      <c r="X71" s="4">
        <f t="shared" si="85"/>
        <v>8.9825303668802992</v>
      </c>
      <c r="Y71" s="4">
        <f t="shared" si="86"/>
        <v>5.5695653752842</v>
      </c>
      <c r="Z71" s="4">
        <f t="shared" si="87"/>
        <v>-179.97571672077731</v>
      </c>
      <c r="AA71" s="4">
        <f t="shared" si="88"/>
        <v>12.16476452743135</v>
      </c>
      <c r="AB71" s="4">
        <f t="shared" si="89"/>
        <v>-78.041535981363012</v>
      </c>
      <c r="AC71" s="4">
        <f t="shared" si="90"/>
        <v>1.8420559551472522</v>
      </c>
      <c r="AD71" s="4">
        <f t="shared" si="91"/>
        <v>82.193749602704997</v>
      </c>
      <c r="AE71" s="4">
        <f t="shared" si="92"/>
        <v>146.15550530885073</v>
      </c>
      <c r="AF71" s="4">
        <f t="shared" si="93"/>
        <v>642.68906125078627</v>
      </c>
      <c r="AG71" s="4">
        <f t="shared" si="94"/>
        <v>-17.53094584616829</v>
      </c>
      <c r="AH71" s="4">
        <f t="shared" si="95"/>
        <v>88.508946047770792</v>
      </c>
      <c r="AI71" s="4">
        <f t="shared" si="96"/>
        <v>197.86759598325949</v>
      </c>
      <c r="AJ71" s="4">
        <f t="shared" si="97"/>
        <v>-11.390999302007</v>
      </c>
      <c r="AK71" s="4">
        <f t="shared" si="98"/>
        <v>-704.98466404039777</v>
      </c>
      <c r="AL71" s="4">
        <f t="shared" si="99"/>
        <v>-4852.3361701291651</v>
      </c>
      <c r="AM71" s="4">
        <f t="shared" si="100"/>
        <v>-32.260790788937491</v>
      </c>
      <c r="AN71" s="4">
        <f t="shared" si="101"/>
        <v>253.97811893213182</v>
      </c>
      <c r="AO71" s="4">
        <f t="shared" si="102"/>
        <v>3440.6969035581014</v>
      </c>
      <c r="AP71" s="4">
        <f t="shared" si="103"/>
        <v>12632.132067855593</v>
      </c>
      <c r="AQ71" s="4">
        <f t="shared" si="104"/>
        <v>2.8680072887906111E-2</v>
      </c>
      <c r="AR71" s="4">
        <f t="shared" si="105"/>
        <v>-0.41194750466746044</v>
      </c>
      <c r="AS71" s="4">
        <f t="shared" si="106"/>
        <v>1.364111653703246E-2</v>
      </c>
      <c r="AT71" s="4">
        <f t="shared" si="107"/>
        <v>4.0445755970380945</v>
      </c>
      <c r="AU71" s="4">
        <f t="shared" si="108"/>
        <v>0.94605883810071167</v>
      </c>
      <c r="AV71" s="4">
        <f t="shared" si="109"/>
        <v>-9.6366992588152352E-3</v>
      </c>
      <c r="AW71" s="4">
        <f t="shared" si="110"/>
        <v>-11.439544657015469</v>
      </c>
      <c r="AX71" s="4">
        <f t="shared" si="111"/>
        <v>-5.7584067928228801</v>
      </c>
      <c r="AY71" s="4">
        <f t="shared" si="112"/>
        <v>12.861333877530623</v>
      </c>
      <c r="AZ71" s="4">
        <f t="shared" si="113"/>
        <v>90.400633026050485</v>
      </c>
      <c r="BA71" s="4">
        <f t="shared" si="114"/>
        <v>-0.1554575007928313</v>
      </c>
      <c r="BB71" s="4">
        <f t="shared" si="115"/>
        <v>-6.3268794560602606</v>
      </c>
      <c r="BC71" s="4">
        <f t="shared" si="116"/>
        <v>-3.4403387819324767</v>
      </c>
      <c r="BD71" s="4">
        <f t="shared" si="117"/>
        <v>17.261423336872095</v>
      </c>
      <c r="BE71" s="4">
        <f t="shared" si="118"/>
        <v>47.505354682439993</v>
      </c>
      <c r="BF71" s="4">
        <f t="shared" si="119"/>
        <v>-32.681944185664669</v>
      </c>
      <c r="BG71" s="4">
        <f t="shared" si="120"/>
        <v>-4.5658772705268937</v>
      </c>
      <c r="BH71" s="4">
        <f t="shared" si="121"/>
        <v>-75.210556086053685</v>
      </c>
      <c r="BI71" s="4">
        <f t="shared" si="122"/>
        <v>-9.447429576652457</v>
      </c>
      <c r="BJ71" s="4">
        <f t="shared" si="123"/>
        <v>-242.74400979584371</v>
      </c>
      <c r="BK71" s="4">
        <f t="shared" si="124"/>
        <v>8.4479188042405257E-2</v>
      </c>
      <c r="BL71" s="4">
        <f t="shared" si="125"/>
        <v>4.1853703302678031</v>
      </c>
      <c r="BM71" s="4">
        <f t="shared" si="126"/>
        <v>9.4389914560630395</v>
      </c>
      <c r="BN71" s="4">
        <f t="shared" si="127"/>
        <v>-7.6430734078383242</v>
      </c>
      <c r="BO71" s="4">
        <f t="shared" si="128"/>
        <v>-76.624993160227504</v>
      </c>
      <c r="BP71" s="4">
        <f t="shared" si="129"/>
        <v>-48.291101307593188</v>
      </c>
      <c r="BQ71" s="4">
        <f t="shared" si="130"/>
        <v>-7.8092931223038837</v>
      </c>
      <c r="BR71" s="4">
        <f t="shared" si="131"/>
        <v>43.257346932994338</v>
      </c>
      <c r="BS71" s="4">
        <f t="shared" si="132"/>
        <v>366.13949271587791</v>
      </c>
      <c r="BT71" s="4">
        <f t="shared" si="133"/>
        <v>1492.7034302214731</v>
      </c>
      <c r="BU71" s="4">
        <f t="shared" si="134"/>
        <v>2.3697558829659373</v>
      </c>
      <c r="BV71" s="4">
        <f t="shared" si="135"/>
        <v>37.52022895085593</v>
      </c>
      <c r="BW71" s="4">
        <f t="shared" si="136"/>
        <v>-196.71088687592678</v>
      </c>
      <c r="BX71" s="4">
        <f t="shared" si="137"/>
        <v>-1113.0593645138586</v>
      </c>
      <c r="BY71" s="4">
        <f t="shared" si="138"/>
        <v>-3272.2295229627298</v>
      </c>
      <c r="BZ71" s="6">
        <f t="shared" si="139"/>
        <v>-1.1191273958120291</v>
      </c>
      <c r="CA71" s="7"/>
      <c r="CB71" s="6">
        <v>-1.1191253922975191</v>
      </c>
      <c r="CC71" s="6"/>
    </row>
    <row r="72" spans="1:81" x14ac:dyDescent="0.3">
      <c r="A72" s="4">
        <v>70</v>
      </c>
      <c r="B72" s="4">
        <v>20105631</v>
      </c>
      <c r="C72" s="4">
        <v>2.448</v>
      </c>
      <c r="D72" s="4">
        <v>5.91</v>
      </c>
      <c r="E72" s="4">
        <v>0.57799999999999996</v>
      </c>
      <c r="F72" s="4">
        <v>3.34</v>
      </c>
      <c r="H72" s="6">
        <v>-2618.81325553337</v>
      </c>
      <c r="I72" s="4">
        <f t="shared" si="70"/>
        <v>113.6185395408</v>
      </c>
      <c r="J72" s="4">
        <f t="shared" si="71"/>
        <v>-2908.4780225100003</v>
      </c>
      <c r="K72" s="4">
        <f t="shared" si="72"/>
        <v>1369.1817747999999</v>
      </c>
      <c r="L72" s="4">
        <f t="shared" si="73"/>
        <v>10793.2304408</v>
      </c>
      <c r="M72" s="4">
        <f t="shared" si="74"/>
        <v>23.154974191457281</v>
      </c>
      <c r="N72" s="4">
        <f t="shared" si="75"/>
        <v>36.599082082113597</v>
      </c>
      <c r="O72" s="4">
        <f t="shared" si="76"/>
        <v>-97.390748333951976</v>
      </c>
      <c r="P72" s="4">
        <f t="shared" si="77"/>
        <v>-313.50037789727992</v>
      </c>
      <c r="Q72" s="4">
        <f t="shared" si="78"/>
        <v>-419.17064365575004</v>
      </c>
      <c r="R72" s="4">
        <f t="shared" si="79"/>
        <v>618.14407864427994</v>
      </c>
      <c r="S72" s="4">
        <f t="shared" si="80"/>
        <v>8351.8263419598006</v>
      </c>
      <c r="T72" s="4">
        <f t="shared" si="81"/>
        <v>-138.66848842498396</v>
      </c>
      <c r="U72" s="4">
        <f t="shared" si="82"/>
        <v>-3969.1786762612005</v>
      </c>
      <c r="V72" s="4">
        <f t="shared" si="83"/>
        <v>-16585.00486212</v>
      </c>
      <c r="W72" s="4">
        <f t="shared" si="84"/>
        <v>-0.53086796742481923</v>
      </c>
      <c r="X72" s="4">
        <f t="shared" si="85"/>
        <v>4.6994038771635998</v>
      </c>
      <c r="Y72" s="4">
        <f t="shared" si="86"/>
        <v>2.0602144150739941</v>
      </c>
      <c r="Z72" s="4">
        <f t="shared" si="87"/>
        <v>-52.494432127223959</v>
      </c>
      <c r="AA72" s="4">
        <f t="shared" si="88"/>
        <v>19.865821560118945</v>
      </c>
      <c r="AB72" s="4">
        <f t="shared" si="89"/>
        <v>-90.110556257605907</v>
      </c>
      <c r="AC72" s="4">
        <f t="shared" si="90"/>
        <v>1.6771074777216923</v>
      </c>
      <c r="AD72" s="4">
        <f t="shared" si="91"/>
        <v>67.10203542739356</v>
      </c>
      <c r="AE72" s="4">
        <f t="shared" si="92"/>
        <v>94.084979465775163</v>
      </c>
      <c r="AF72" s="4">
        <f t="shared" si="93"/>
        <v>326.22274560255551</v>
      </c>
      <c r="AG72" s="4">
        <f t="shared" si="94"/>
        <v>-89.364888608395361</v>
      </c>
      <c r="AH72" s="4">
        <f t="shared" si="95"/>
        <v>319.00374250730243</v>
      </c>
      <c r="AI72" s="4">
        <f t="shared" si="96"/>
        <v>562.33032037167504</v>
      </c>
      <c r="AJ72" s="4">
        <f t="shared" si="97"/>
        <v>-29.028023961005466</v>
      </c>
      <c r="AK72" s="4">
        <f t="shared" si="98"/>
        <v>-1416.5879134244783</v>
      </c>
      <c r="AL72" s="4">
        <f t="shared" si="99"/>
        <v>-7688.1696539879522</v>
      </c>
      <c r="AM72" s="4">
        <f t="shared" si="100"/>
        <v>-58.126971365391761</v>
      </c>
      <c r="AN72" s="4">
        <f t="shared" si="101"/>
        <v>360.83379289006365</v>
      </c>
      <c r="AO72" s="4">
        <f t="shared" si="102"/>
        <v>3854.4776561059939</v>
      </c>
      <c r="AP72" s="4">
        <f t="shared" si="103"/>
        <v>11158.452990260672</v>
      </c>
      <c r="AQ72" s="4">
        <f t="shared" si="104"/>
        <v>2.6502938217165882E-3</v>
      </c>
      <c r="AR72" s="4">
        <f t="shared" si="105"/>
        <v>-0.11882679860064917</v>
      </c>
      <c r="AS72" s="4">
        <f t="shared" si="106"/>
        <v>2.782079127807507E-3</v>
      </c>
      <c r="AT72" s="4">
        <f t="shared" si="107"/>
        <v>0.65043024960123852</v>
      </c>
      <c r="AU72" s="4">
        <f t="shared" si="108"/>
        <v>0.8518231016827339</v>
      </c>
      <c r="AV72" s="4">
        <f t="shared" si="109"/>
        <v>-6.1348876156922579E-3</v>
      </c>
      <c r="AW72" s="4">
        <f t="shared" si="110"/>
        <v>-5.7424240294319135</v>
      </c>
      <c r="AX72" s="4">
        <f t="shared" si="111"/>
        <v>-2.5919563645047217</v>
      </c>
      <c r="AY72" s="4">
        <f t="shared" si="112"/>
        <v>4.5647770580259044</v>
      </c>
      <c r="AZ72" s="4">
        <f t="shared" si="113"/>
        <v>25.299576149391893</v>
      </c>
      <c r="BA72" s="4">
        <f t="shared" si="114"/>
        <v>-0.43691976866159932</v>
      </c>
      <c r="BB72" s="4">
        <f t="shared" si="115"/>
        <v>-12.572643821955518</v>
      </c>
      <c r="BC72" s="4">
        <f t="shared" si="116"/>
        <v>-5.3907163192282121</v>
      </c>
      <c r="BD72" s="4">
        <f t="shared" si="117"/>
        <v>24.252733511544118</v>
      </c>
      <c r="BE72" s="4">
        <f t="shared" si="118"/>
        <v>52.630181859262763</v>
      </c>
      <c r="BF72" s="4">
        <f t="shared" si="119"/>
        <v>-28.550150664255327</v>
      </c>
      <c r="BG72" s="4">
        <f t="shared" si="120"/>
        <v>-4.5358153180204814</v>
      </c>
      <c r="BH72" s="4">
        <f t="shared" si="121"/>
        <v>-58.913950324598197</v>
      </c>
      <c r="BI72" s="4">
        <f t="shared" si="122"/>
        <v>-5.8352735830691298</v>
      </c>
      <c r="BJ72" s="4">
        <f t="shared" si="123"/>
        <v>-118.22363150480211</v>
      </c>
      <c r="BK72" s="4">
        <f t="shared" si="124"/>
        <v>0.74113699328910121</v>
      </c>
      <c r="BL72" s="4">
        <f t="shared" si="125"/>
        <v>25.961494548930578</v>
      </c>
      <c r="BM72" s="4">
        <f t="shared" si="126"/>
        <v>46.16678232338954</v>
      </c>
      <c r="BN72" s="4">
        <f t="shared" si="127"/>
        <v>-33.52052936361877</v>
      </c>
      <c r="BO72" s="4">
        <f t="shared" si="128"/>
        <v>-264.98512853507066</v>
      </c>
      <c r="BP72" s="4">
        <f t="shared" si="129"/>
        <v>-131.6819887809427</v>
      </c>
      <c r="BQ72" s="4">
        <f t="shared" si="130"/>
        <v>-24.215954996635425</v>
      </c>
      <c r="BR72" s="4">
        <f t="shared" si="131"/>
        <v>105.76889590150667</v>
      </c>
      <c r="BS72" s="4">
        <f t="shared" si="132"/>
        <v>705.91576569535948</v>
      </c>
      <c r="BT72" s="4">
        <f t="shared" si="133"/>
        <v>2269.2798218815101</v>
      </c>
      <c r="BU72" s="4">
        <f t="shared" si="134"/>
        <v>5.1956576292594541</v>
      </c>
      <c r="BV72" s="4">
        <f t="shared" si="135"/>
        <v>64.865027974376758</v>
      </c>
      <c r="BW72" s="4">
        <f t="shared" si="136"/>
        <v>-268.15243257232652</v>
      </c>
      <c r="BX72" s="4">
        <f t="shared" si="137"/>
        <v>-1196.4095946902257</v>
      </c>
      <c r="BY72" s="4">
        <f t="shared" si="138"/>
        <v>-2773.4065235564995</v>
      </c>
      <c r="BZ72" s="6">
        <f t="shared" si="139"/>
        <v>-1.1933990860366066</v>
      </c>
      <c r="CA72" s="7"/>
      <c r="CB72" s="6">
        <v>-1.193399823894197</v>
      </c>
      <c r="CC72" s="6"/>
    </row>
    <row r="73" spans="1:81" x14ac:dyDescent="0.3">
      <c r="A73" s="4">
        <v>71</v>
      </c>
      <c r="B73" s="4">
        <v>20152032</v>
      </c>
      <c r="C73" s="4">
        <v>16.989000000000001</v>
      </c>
      <c r="D73" s="4">
        <v>3.5150000000000001</v>
      </c>
      <c r="E73" s="4">
        <v>0.95599999999999996</v>
      </c>
      <c r="F73" s="4">
        <v>2.7789999999999999</v>
      </c>
      <c r="H73" s="6">
        <v>-2618.81325553337</v>
      </c>
      <c r="I73" s="4">
        <f t="shared" si="70"/>
        <v>788.50709487690006</v>
      </c>
      <c r="J73" s="4">
        <f t="shared" si="71"/>
        <v>-1729.8308374150001</v>
      </c>
      <c r="K73" s="4">
        <f t="shared" si="72"/>
        <v>2264.5982295999997</v>
      </c>
      <c r="L73" s="4">
        <f t="shared" si="73"/>
        <v>8980.3555074800006</v>
      </c>
      <c r="M73" s="4">
        <f t="shared" si="74"/>
        <v>1115.2111605604794</v>
      </c>
      <c r="N73" s="4">
        <f t="shared" si="75"/>
        <v>151.06520508526546</v>
      </c>
      <c r="O73" s="4">
        <f t="shared" si="76"/>
        <v>-1117.9030978002718</v>
      </c>
      <c r="P73" s="4">
        <f t="shared" si="77"/>
        <v>-1810.2416441564487</v>
      </c>
      <c r="Q73" s="4">
        <f t="shared" si="78"/>
        <v>-148.27453012793751</v>
      </c>
      <c r="R73" s="4">
        <f t="shared" si="79"/>
        <v>608.07565419923992</v>
      </c>
      <c r="S73" s="4">
        <f t="shared" si="80"/>
        <v>4132.9617311638949</v>
      </c>
      <c r="T73" s="4">
        <f t="shared" si="81"/>
        <v>-379.34807903753597</v>
      </c>
      <c r="U73" s="4">
        <f t="shared" si="82"/>
        <v>-5462.2652184444405</v>
      </c>
      <c r="V73" s="4">
        <f t="shared" si="83"/>
        <v>-11481.5299521657</v>
      </c>
      <c r="W73" s="4">
        <f t="shared" si="84"/>
        <v>-177.44171625608291</v>
      </c>
      <c r="X73" s="4">
        <f t="shared" si="85"/>
        <v>134.61499055819976</v>
      </c>
      <c r="Y73" s="4">
        <f t="shared" si="86"/>
        <v>164.11764677844883</v>
      </c>
      <c r="Z73" s="4">
        <f t="shared" si="87"/>
        <v>-2103.6240518790742</v>
      </c>
      <c r="AA73" s="4">
        <f t="shared" si="88"/>
        <v>48.768413766680496</v>
      </c>
      <c r="AB73" s="4">
        <f t="shared" si="89"/>
        <v>-615.17683846667228</v>
      </c>
      <c r="AC73" s="4">
        <f t="shared" si="90"/>
        <v>5.7596650319014362</v>
      </c>
      <c r="AD73" s="4">
        <f t="shared" si="91"/>
        <v>1273.9494761130559</v>
      </c>
      <c r="AE73" s="4">
        <f t="shared" si="92"/>
        <v>898.56361948593667</v>
      </c>
      <c r="AF73" s="4">
        <f t="shared" si="93"/>
        <v>1567.3096276362446</v>
      </c>
      <c r="AG73" s="4">
        <f t="shared" si="94"/>
        <v>-18.800978976464375</v>
      </c>
      <c r="AH73" s="4">
        <f t="shared" si="95"/>
        <v>186.63862616088159</v>
      </c>
      <c r="AI73" s="4">
        <f t="shared" si="96"/>
        <v>165.5042985117808</v>
      </c>
      <c r="AJ73" s="4">
        <f t="shared" si="97"/>
        <v>-47.229726329145151</v>
      </c>
      <c r="AK73" s="4">
        <f t="shared" si="98"/>
        <v>-1159.4539762782183</v>
      </c>
      <c r="AL73" s="4">
        <f t="shared" si="99"/>
        <v>-3165.5193070345904</v>
      </c>
      <c r="AM73" s="4">
        <f t="shared" si="100"/>
        <v>-263.00733260939336</v>
      </c>
      <c r="AN73" s="4">
        <f t="shared" si="101"/>
        <v>821.31431258283965</v>
      </c>
      <c r="AO73" s="4">
        <f t="shared" si="102"/>
        <v>4413.4656035723328</v>
      </c>
      <c r="AP73" s="4">
        <f t="shared" si="103"/>
        <v>6427.3245159456101</v>
      </c>
      <c r="AQ73" s="4">
        <f t="shared" si="104"/>
        <v>6.1477986557535615</v>
      </c>
      <c r="AR73" s="4">
        <f t="shared" si="105"/>
        <v>-23.622260458983725</v>
      </c>
      <c r="AS73" s="4">
        <f t="shared" si="106"/>
        <v>1.5380439315010821</v>
      </c>
      <c r="AT73" s="4">
        <f t="shared" si="107"/>
        <v>180.88894232194156</v>
      </c>
      <c r="AU73" s="4">
        <f t="shared" si="108"/>
        <v>14.512355777253006</v>
      </c>
      <c r="AV73" s="4">
        <f t="shared" si="109"/>
        <v>-0.29066137214211207</v>
      </c>
      <c r="AW73" s="4">
        <f t="shared" si="110"/>
        <v>-136.86361046320087</v>
      </c>
      <c r="AX73" s="4">
        <f t="shared" si="111"/>
        <v>-341.50777799459871</v>
      </c>
      <c r="AY73" s="4">
        <f t="shared" si="112"/>
        <v>302.55512312313238</v>
      </c>
      <c r="AZ73" s="4">
        <f t="shared" si="113"/>
        <v>843.54879827581965</v>
      </c>
      <c r="BA73" s="4">
        <f t="shared" si="114"/>
        <v>-0.63792796865953727</v>
      </c>
      <c r="BB73" s="4">
        <f t="shared" si="115"/>
        <v>-51.049179480644483</v>
      </c>
      <c r="BC73" s="4">
        <f t="shared" si="116"/>
        <v>-11.010845223711202</v>
      </c>
      <c r="BD73" s="4">
        <f t="shared" si="117"/>
        <v>273.85145570256276</v>
      </c>
      <c r="BE73" s="4">
        <f t="shared" si="118"/>
        <v>298.9518572647994</v>
      </c>
      <c r="BF73" s="4">
        <f t="shared" si="119"/>
        <v>-81.580585089237303</v>
      </c>
      <c r="BG73" s="4">
        <f t="shared" si="120"/>
        <v>-142.43014872758349</v>
      </c>
      <c r="BH73" s="4">
        <f t="shared" si="121"/>
        <v>-930.62932785470332</v>
      </c>
      <c r="BI73" s="4">
        <f t="shared" si="122"/>
        <v>-46.369438734740108</v>
      </c>
      <c r="BJ73" s="4">
        <f t="shared" si="123"/>
        <v>-472.59262316374145</v>
      </c>
      <c r="BK73" s="4">
        <f t="shared" si="124"/>
        <v>9.2736325793496305E-2</v>
      </c>
      <c r="BL73" s="4">
        <f t="shared" si="125"/>
        <v>9.0338586197425048</v>
      </c>
      <c r="BM73" s="4">
        <f t="shared" si="126"/>
        <v>8.081374483915635</v>
      </c>
      <c r="BN73" s="4">
        <f t="shared" si="127"/>
        <v>-32.437447564210331</v>
      </c>
      <c r="BO73" s="4">
        <f t="shared" si="128"/>
        <v>-128.99394709491261</v>
      </c>
      <c r="BP73" s="4">
        <f t="shared" si="129"/>
        <v>-32.246771031775786</v>
      </c>
      <c r="BQ73" s="4">
        <f t="shared" si="130"/>
        <v>-65.167282463792233</v>
      </c>
      <c r="BR73" s="4">
        <f t="shared" si="131"/>
        <v>143.18515930052544</v>
      </c>
      <c r="BS73" s="4">
        <f t="shared" si="132"/>
        <v>480.73411610310211</v>
      </c>
      <c r="BT73" s="4">
        <f t="shared" si="133"/>
        <v>777.4136106804367</v>
      </c>
      <c r="BU73" s="4">
        <f t="shared" si="134"/>
        <v>38.883087324768297</v>
      </c>
      <c r="BV73" s="4">
        <f t="shared" si="135"/>
        <v>244.19842089211841</v>
      </c>
      <c r="BW73" s="4">
        <f t="shared" si="136"/>
        <v>-507.83895183774729</v>
      </c>
      <c r="BX73" s="4">
        <f t="shared" si="137"/>
        <v>-1139.8197582066011</v>
      </c>
      <c r="BY73" s="4">
        <f t="shared" si="138"/>
        <v>-1329.1740464416932</v>
      </c>
      <c r="BZ73" s="6">
        <f t="shared" si="139"/>
        <v>-1.0010157901670027</v>
      </c>
      <c r="CA73" s="7"/>
      <c r="CB73" s="6">
        <v>-1.0010190152379439</v>
      </c>
      <c r="CC73" s="6"/>
    </row>
    <row r="74" spans="1:81" x14ac:dyDescent="0.3">
      <c r="A74" s="4">
        <v>72</v>
      </c>
      <c r="B74" s="4">
        <v>71717651</v>
      </c>
      <c r="C74" s="4">
        <v>4.66</v>
      </c>
      <c r="D74" s="4">
        <v>3.1320000000000001</v>
      </c>
      <c r="E74" s="4">
        <v>0.86399999999999999</v>
      </c>
      <c r="F74" s="4">
        <v>2.8519999999999999</v>
      </c>
      <c r="H74" s="6">
        <v>-2618.81325553337</v>
      </c>
      <c r="I74" s="4">
        <f t="shared" si="70"/>
        <v>216.28365778600002</v>
      </c>
      <c r="J74" s="4">
        <f t="shared" si="71"/>
        <v>-1541.3457134520002</v>
      </c>
      <c r="K74" s="4">
        <f t="shared" si="72"/>
        <v>2046.6661823999998</v>
      </c>
      <c r="L74" s="4">
        <f t="shared" si="73"/>
        <v>9216.2554542399994</v>
      </c>
      <c r="M74" s="4">
        <f t="shared" si="74"/>
        <v>83.906056022792015</v>
      </c>
      <c r="N74" s="4">
        <f t="shared" si="75"/>
        <v>36.9214687412424</v>
      </c>
      <c r="O74" s="4">
        <f t="shared" si="76"/>
        <v>-277.12653403392</v>
      </c>
      <c r="P74" s="4">
        <f t="shared" si="77"/>
        <v>-509.58381550327994</v>
      </c>
      <c r="Q74" s="4">
        <f t="shared" si="78"/>
        <v>-117.72248052348</v>
      </c>
      <c r="R74" s="4">
        <f t="shared" si="79"/>
        <v>489.67720763212793</v>
      </c>
      <c r="S74" s="4">
        <f t="shared" si="80"/>
        <v>3779.3645264702882</v>
      </c>
      <c r="T74" s="4">
        <f t="shared" si="81"/>
        <v>-309.84863667609596</v>
      </c>
      <c r="U74" s="4">
        <f t="shared" si="82"/>
        <v>-5066.2848937996805</v>
      </c>
      <c r="V74" s="4">
        <f t="shared" si="83"/>
        <v>-12092.656368820799</v>
      </c>
      <c r="W74" s="4">
        <f t="shared" si="84"/>
        <v>-3.6619299342846006</v>
      </c>
      <c r="X74" s="4">
        <f t="shared" si="85"/>
        <v>9.0245602720311417</v>
      </c>
      <c r="Y74" s="4">
        <f t="shared" si="86"/>
        <v>11.15956669380077</v>
      </c>
      <c r="Z74" s="4">
        <f t="shared" si="87"/>
        <v>-162.42964786203709</v>
      </c>
      <c r="AA74" s="4">
        <f t="shared" si="88"/>
        <v>10.620612862550043</v>
      </c>
      <c r="AB74" s="4">
        <f t="shared" si="89"/>
        <v>-135.88463445128065</v>
      </c>
      <c r="AC74" s="4">
        <f t="shared" si="90"/>
        <v>1.4446835424689082</v>
      </c>
      <c r="AD74" s="4">
        <f t="shared" si="91"/>
        <v>285.41842500954931</v>
      </c>
      <c r="AE74" s="4">
        <f t="shared" si="92"/>
        <v>228.6039636306916</v>
      </c>
      <c r="AF74" s="4">
        <f t="shared" si="93"/>
        <v>452.78793960159464</v>
      </c>
      <c r="AG74" s="4">
        <f t="shared" si="94"/>
        <v>-13.300554156927639</v>
      </c>
      <c r="AH74" s="4">
        <f t="shared" si="95"/>
        <v>133.92147601082235</v>
      </c>
      <c r="AI74" s="4">
        <f t="shared" si="96"/>
        <v>134.85377252176843</v>
      </c>
      <c r="AJ74" s="4">
        <f t="shared" si="97"/>
        <v>-34.373484021930395</v>
      </c>
      <c r="AK74" s="4">
        <f t="shared" si="98"/>
        <v>-958.22337953914666</v>
      </c>
      <c r="AL74" s="4">
        <f t="shared" si="99"/>
        <v>-2970.7310777199182</v>
      </c>
      <c r="AM74" s="4">
        <f t="shared" si="100"/>
        <v>-194.14911147717424</v>
      </c>
      <c r="AN74" s="4">
        <f t="shared" si="101"/>
        <v>688.46531594021667</v>
      </c>
      <c r="AO74" s="4">
        <f t="shared" si="102"/>
        <v>4201.0470478437765</v>
      </c>
      <c r="AP74" s="4">
        <f t="shared" si="103"/>
        <v>6947.2535797119672</v>
      </c>
      <c r="AQ74" s="4">
        <f t="shared" si="104"/>
        <v>3.4801025123597201E-2</v>
      </c>
      <c r="AR74" s="4">
        <f t="shared" si="105"/>
        <v>-0.43438235828370819</v>
      </c>
      <c r="AS74" s="4">
        <f t="shared" si="106"/>
        <v>2.868658771321432E-2</v>
      </c>
      <c r="AT74" s="4">
        <f t="shared" si="107"/>
        <v>3.831133580503955</v>
      </c>
      <c r="AU74" s="4">
        <f t="shared" si="108"/>
        <v>0.86689593308718138</v>
      </c>
      <c r="AV74" s="4">
        <f t="shared" si="109"/>
        <v>-1.761066656438548E-2</v>
      </c>
      <c r="AW74" s="4">
        <f t="shared" si="110"/>
        <v>-9.4163282969730897</v>
      </c>
      <c r="AX74" s="4">
        <f t="shared" si="111"/>
        <v>-20.986910018210562</v>
      </c>
      <c r="AY74" s="4">
        <f t="shared" si="112"/>
        <v>21.113368927230852</v>
      </c>
      <c r="AZ74" s="4">
        <f t="shared" si="113"/>
        <v>66.844912718630297</v>
      </c>
      <c r="BA74" s="4">
        <f t="shared" si="114"/>
        <v>-0.12378813382722917</v>
      </c>
      <c r="BB74" s="4">
        <f t="shared" si="115"/>
        <v>-10.047443313224546</v>
      </c>
      <c r="BC74" s="4">
        <f t="shared" si="116"/>
        <v>-2.4608921489641413</v>
      </c>
      <c r="BD74" s="4">
        <f t="shared" si="117"/>
        <v>54.669018721167994</v>
      </c>
      <c r="BE74" s="4">
        <f t="shared" si="118"/>
        <v>67.769238373472461</v>
      </c>
      <c r="BF74" s="4">
        <f t="shared" si="119"/>
        <v>-21.000193135712923</v>
      </c>
      <c r="BG74" s="4">
        <f t="shared" si="120"/>
        <v>-28.839490180798432</v>
      </c>
      <c r="BH74" s="4">
        <f t="shared" si="121"/>
        <v>-213.9772047619222</v>
      </c>
      <c r="BI74" s="4">
        <f t="shared" si="122"/>
        <v>-12.106754572027299</v>
      </c>
      <c r="BJ74" s="4">
        <f t="shared" si="123"/>
        <v>-140.11607458844338</v>
      </c>
      <c r="BK74" s="4">
        <f t="shared" si="124"/>
        <v>5.8456873151837001E-2</v>
      </c>
      <c r="BL74" s="4">
        <f t="shared" si="125"/>
        <v>5.7758833264047871</v>
      </c>
      <c r="BM74" s="4">
        <f t="shared" si="126"/>
        <v>5.8672619551198775</v>
      </c>
      <c r="BN74" s="4">
        <f t="shared" si="127"/>
        <v>-21.035421642426389</v>
      </c>
      <c r="BO74" s="4">
        <f t="shared" si="128"/>
        <v>-94.990244304150181</v>
      </c>
      <c r="BP74" s="4">
        <f t="shared" si="129"/>
        <v>-26.965037635331708</v>
      </c>
      <c r="BQ74" s="4">
        <f t="shared" si="130"/>
        <v>-42.864087768697516</v>
      </c>
      <c r="BR74" s="4">
        <f t="shared" si="131"/>
        <v>106.94663044584067</v>
      </c>
      <c r="BS74" s="4">
        <f t="shared" si="132"/>
        <v>407.73610199523284</v>
      </c>
      <c r="BT74" s="4">
        <f t="shared" si="133"/>
        <v>748.74077922023059</v>
      </c>
      <c r="BU74" s="4">
        <f t="shared" si="134"/>
        <v>25.940846359828281</v>
      </c>
      <c r="BV74" s="4">
        <f t="shared" si="135"/>
        <v>184.9998499972094</v>
      </c>
      <c r="BW74" s="4">
        <f t="shared" si="136"/>
        <v>-436.87747948014442</v>
      </c>
      <c r="BX74" s="4">
        <f t="shared" si="137"/>
        <v>-1113.4608572460515</v>
      </c>
      <c r="BY74" s="4">
        <f t="shared" si="138"/>
        <v>-1474.4354028369287</v>
      </c>
      <c r="BZ74" s="6">
        <f t="shared" si="139"/>
        <v>-1.3917576203682529</v>
      </c>
      <c r="CA74" s="7"/>
      <c r="CB74" s="6">
        <v>-1.3917570478865851</v>
      </c>
      <c r="CC74" s="6"/>
    </row>
    <row r="75" spans="1:81" x14ac:dyDescent="0.3">
      <c r="A75" s="4">
        <v>73</v>
      </c>
      <c r="B75" s="4">
        <v>71717653</v>
      </c>
      <c r="C75" s="4">
        <v>6.52</v>
      </c>
      <c r="D75" s="4">
        <v>4.343</v>
      </c>
      <c r="E75" s="4">
        <v>0.875</v>
      </c>
      <c r="F75" s="4">
        <v>3.004</v>
      </c>
      <c r="H75" s="6">
        <v>-2618.81325553337</v>
      </c>
      <c r="I75" s="4">
        <f t="shared" si="70"/>
        <v>302.61146969199996</v>
      </c>
      <c r="J75" s="4">
        <f t="shared" si="71"/>
        <v>-2137.3130375229998</v>
      </c>
      <c r="K75" s="4">
        <f t="shared" si="72"/>
        <v>2072.7232749999998</v>
      </c>
      <c r="L75" s="4">
        <f t="shared" si="73"/>
        <v>9707.4443844800007</v>
      </c>
      <c r="M75" s="4">
        <f t="shared" si="74"/>
        <v>164.25426900252799</v>
      </c>
      <c r="N75" s="4">
        <f t="shared" si="75"/>
        <v>71.632271650097181</v>
      </c>
      <c r="O75" s="4">
        <f t="shared" si="76"/>
        <v>-392.67576613999995</v>
      </c>
      <c r="P75" s="4">
        <f t="shared" si="77"/>
        <v>-750.9788610923199</v>
      </c>
      <c r="Q75" s="4">
        <f t="shared" si="78"/>
        <v>-226.35784802891749</v>
      </c>
      <c r="R75" s="4">
        <f t="shared" si="79"/>
        <v>687.65764637324992</v>
      </c>
      <c r="S75" s="4">
        <f t="shared" si="80"/>
        <v>5519.9769667065239</v>
      </c>
      <c r="T75" s="4">
        <f t="shared" si="81"/>
        <v>-317.78852459374997</v>
      </c>
      <c r="U75" s="4">
        <f t="shared" si="82"/>
        <v>-5404.2362423350005</v>
      </c>
      <c r="V75" s="4">
        <f t="shared" si="83"/>
        <v>-13415.983831963198</v>
      </c>
      <c r="W75" s="4">
        <f t="shared" si="84"/>
        <v>-10.029864538900799</v>
      </c>
      <c r="X75" s="4">
        <f t="shared" si="85"/>
        <v>24.497258436477729</v>
      </c>
      <c r="Y75" s="4">
        <f t="shared" si="86"/>
        <v>22.124068816856997</v>
      </c>
      <c r="Z75" s="4">
        <f t="shared" si="87"/>
        <v>-334.91844644631931</v>
      </c>
      <c r="AA75" s="4">
        <f t="shared" si="88"/>
        <v>28.572445265040614</v>
      </c>
      <c r="AB75" s="4">
        <f t="shared" si="89"/>
        <v>-266.98964381318251</v>
      </c>
      <c r="AC75" s="4">
        <f t="shared" si="90"/>
        <v>2.9522483435051217</v>
      </c>
      <c r="AD75" s="4">
        <f t="shared" si="91"/>
        <v>409.57393007212499</v>
      </c>
      <c r="AE75" s="4">
        <f t="shared" si="92"/>
        <v>341.18517552810602</v>
      </c>
      <c r="AF75" s="4">
        <f t="shared" si="93"/>
        <v>702.8414141083025</v>
      </c>
      <c r="AG75" s="4">
        <f t="shared" si="94"/>
        <v>-35.462876841830401</v>
      </c>
      <c r="AH75" s="4">
        <f t="shared" si="95"/>
        <v>260.78384827360617</v>
      </c>
      <c r="AI75" s="4">
        <f t="shared" si="96"/>
        <v>273.11758236234283</v>
      </c>
      <c r="AJ75" s="4">
        <f t="shared" si="97"/>
        <v>-48.885521283462495</v>
      </c>
      <c r="AK75" s="4">
        <f t="shared" si="98"/>
        <v>-1417.3579910669057</v>
      </c>
      <c r="AL75" s="4">
        <f t="shared" si="99"/>
        <v>-4570.1686811539757</v>
      </c>
      <c r="AM75" s="4">
        <f t="shared" si="100"/>
        <v>-201.65933883593749</v>
      </c>
      <c r="AN75" s="4">
        <f t="shared" si="101"/>
        <v>743.73992242681254</v>
      </c>
      <c r="AO75" s="4">
        <f t="shared" si="102"/>
        <v>4720.1159811771277</v>
      </c>
      <c r="AP75" s="4">
        <f t="shared" si="103"/>
        <v>8118.2864789091691</v>
      </c>
      <c r="AQ75" s="4">
        <f t="shared" si="104"/>
        <v>0.13336404309408909</v>
      </c>
      <c r="AR75" s="4">
        <f t="shared" si="105"/>
        <v>-1.6497771793155218</v>
      </c>
      <c r="AS75" s="4">
        <f t="shared" si="106"/>
        <v>7.9571627225977645E-2</v>
      </c>
      <c r="AT75" s="4">
        <f t="shared" si="107"/>
        <v>11.052556384001774</v>
      </c>
      <c r="AU75" s="4">
        <f t="shared" si="108"/>
        <v>3.2630706394673052</v>
      </c>
      <c r="AV75" s="4">
        <f t="shared" si="109"/>
        <v>-4.8412949124871277E-2</v>
      </c>
      <c r="AW75" s="4">
        <f t="shared" si="110"/>
        <v>-26.922998861558948</v>
      </c>
      <c r="AX75" s="4">
        <f t="shared" si="111"/>
        <v>-42.136696068572</v>
      </c>
      <c r="AY75" s="4">
        <f t="shared" si="112"/>
        <v>44.088529333171635</v>
      </c>
      <c r="AZ75" s="4">
        <f t="shared" si="113"/>
        <v>145.17523340530659</v>
      </c>
      <c r="BA75" s="4">
        <f t="shared" si="114"/>
        <v>-0.46179042387825375</v>
      </c>
      <c r="BB75" s="4">
        <f t="shared" si="115"/>
        <v>-27.374595222906592</v>
      </c>
      <c r="BC75" s="4">
        <f t="shared" si="116"/>
        <v>-6.9733396501251246</v>
      </c>
      <c r="BD75" s="4">
        <f t="shared" si="117"/>
        <v>108.78265512976759</v>
      </c>
      <c r="BE75" s="4">
        <f t="shared" si="118"/>
        <v>140.25135880583846</v>
      </c>
      <c r="BF75" s="4">
        <f t="shared" si="119"/>
        <v>-45.201605248036401</v>
      </c>
      <c r="BG75" s="4">
        <f t="shared" si="120"/>
        <v>-41.911402050486714</v>
      </c>
      <c r="BH75" s="4">
        <f t="shared" si="121"/>
        <v>-323.42100119740945</v>
      </c>
      <c r="BI75" s="4">
        <f t="shared" si="122"/>
        <v>-19.032004967305983</v>
      </c>
      <c r="BJ75" s="4">
        <f t="shared" si="123"/>
        <v>-229.08722017024118</v>
      </c>
      <c r="BK75" s="4">
        <f t="shared" si="124"/>
        <v>0.21612643269249879</v>
      </c>
      <c r="BL75" s="4">
        <f t="shared" si="125"/>
        <v>15.596133726446853</v>
      </c>
      <c r="BM75" s="4">
        <f t="shared" si="126"/>
        <v>16.477454217799366</v>
      </c>
      <c r="BN75" s="4">
        <f t="shared" si="127"/>
        <v>-41.483557653166898</v>
      </c>
      <c r="BO75" s="4">
        <f t="shared" si="128"/>
        <v>-194.83181408733114</v>
      </c>
      <c r="BP75" s="4">
        <f t="shared" si="129"/>
        <v>-57.522532352678013</v>
      </c>
      <c r="BQ75" s="4">
        <f t="shared" si="130"/>
        <v>-61.736867973411918</v>
      </c>
      <c r="BR75" s="4">
        <f t="shared" si="131"/>
        <v>160.20431526878616</v>
      </c>
      <c r="BS75" s="4">
        <f t="shared" si="132"/>
        <v>635.24662668850033</v>
      </c>
      <c r="BT75" s="4">
        <f t="shared" si="133"/>
        <v>1213.2513535561943</v>
      </c>
      <c r="BU75" s="4">
        <f t="shared" si="134"/>
        <v>27.287351400585937</v>
      </c>
      <c r="BV75" s="4">
        <f t="shared" si="135"/>
        <v>202.39730017390625</v>
      </c>
      <c r="BW75" s="4">
        <f t="shared" si="136"/>
        <v>-497.10610102983338</v>
      </c>
      <c r="BX75" s="4">
        <f t="shared" si="137"/>
        <v>-1317.711955851511</v>
      </c>
      <c r="BY75" s="4">
        <f t="shared" si="138"/>
        <v>-1814.7941842426078</v>
      </c>
      <c r="BZ75" s="6">
        <f t="shared" si="139"/>
        <v>-1.4339509129160888</v>
      </c>
      <c r="CA75" s="7"/>
      <c r="CB75" s="6">
        <v>-1.4339523784228729</v>
      </c>
      <c r="CC75" s="6"/>
    </row>
    <row r="76" spans="1:81" x14ac:dyDescent="0.3">
      <c r="A76" s="4">
        <v>74</v>
      </c>
      <c r="B76" s="4">
        <v>65866</v>
      </c>
      <c r="C76" s="4">
        <v>8.3439999999999994</v>
      </c>
      <c r="D76" s="4">
        <v>8.0020000000000007</v>
      </c>
      <c r="E76" s="4">
        <v>0.66900000000000004</v>
      </c>
      <c r="F76" s="4">
        <v>3.831</v>
      </c>
      <c r="H76" s="6">
        <v>-2618.81325553337</v>
      </c>
      <c r="I76" s="4">
        <f t="shared" si="70"/>
        <v>387.26842072239998</v>
      </c>
      <c r="J76" s="4">
        <f t="shared" si="71"/>
        <v>-3938.0103445220002</v>
      </c>
      <c r="K76" s="4">
        <f t="shared" si="72"/>
        <v>1584.7449954000001</v>
      </c>
      <c r="L76" s="4">
        <f t="shared" si="73"/>
        <v>12379.899945720001</v>
      </c>
      <c r="M76" s="4">
        <f t="shared" si="74"/>
        <v>269.01101626727552</v>
      </c>
      <c r="N76" s="4">
        <f t="shared" si="75"/>
        <v>168.90563605408974</v>
      </c>
      <c r="O76" s="4">
        <f t="shared" si="76"/>
        <v>-384.219023750688</v>
      </c>
      <c r="P76" s="4">
        <f t="shared" si="77"/>
        <v>-1225.6504691368559</v>
      </c>
      <c r="Q76" s="4">
        <f t="shared" si="78"/>
        <v>-768.44535864383022</v>
      </c>
      <c r="R76" s="4">
        <f t="shared" si="79"/>
        <v>968.72176818406808</v>
      </c>
      <c r="S76" s="4">
        <f t="shared" si="80"/>
        <v>12970.544465475956</v>
      </c>
      <c r="T76" s="4">
        <f t="shared" si="81"/>
        <v>-185.76946919928602</v>
      </c>
      <c r="U76" s="4">
        <f t="shared" si="82"/>
        <v>-5269.4418225960908</v>
      </c>
      <c r="V76" s="4">
        <f t="shared" si="83"/>
        <v>-21819.6094826097</v>
      </c>
      <c r="W76" s="4">
        <f t="shared" si="84"/>
        <v>-21.022054934090914</v>
      </c>
      <c r="X76" s="4">
        <f t="shared" si="85"/>
        <v>73.923002972747568</v>
      </c>
      <c r="Y76" s="4">
        <f t="shared" si="86"/>
        <v>27.703616380517406</v>
      </c>
      <c r="Z76" s="4">
        <f t="shared" si="87"/>
        <v>-699.52733697666281</v>
      </c>
      <c r="AA76" s="4">
        <f t="shared" si="88"/>
        <v>124.13422708734807</v>
      </c>
      <c r="AB76" s="4">
        <f t="shared" si="89"/>
        <v>-481.33550514295968</v>
      </c>
      <c r="AC76" s="4">
        <f t="shared" si="90"/>
        <v>8.877701299835751</v>
      </c>
      <c r="AD76" s="4">
        <f t="shared" si="91"/>
        <v>306.404496713306</v>
      </c>
      <c r="AE76" s="4">
        <f t="shared" si="92"/>
        <v>425.742632219916</v>
      </c>
      <c r="AF76" s="4">
        <f t="shared" si="93"/>
        <v>1462.8792873676719</v>
      </c>
      <c r="AG76" s="4">
        <f t="shared" si="94"/>
        <v>-221.81970166050365</v>
      </c>
      <c r="AH76" s="4">
        <f t="shared" si="95"/>
        <v>676.88702577166089</v>
      </c>
      <c r="AI76" s="4">
        <f t="shared" si="96"/>
        <v>1182.4405599358427</v>
      </c>
      <c r="AJ76" s="4">
        <f t="shared" si="97"/>
        <v>-52.653239665165721</v>
      </c>
      <c r="AK76" s="4">
        <f t="shared" si="98"/>
        <v>-2546.3527250361349</v>
      </c>
      <c r="AL76" s="4">
        <f t="shared" si="99"/>
        <v>-13695.105897852534</v>
      </c>
      <c r="AM76" s="4">
        <f t="shared" si="100"/>
        <v>-90.130656247513102</v>
      </c>
      <c r="AN76" s="4">
        <f t="shared" si="101"/>
        <v>554.45901268485443</v>
      </c>
      <c r="AO76" s="4">
        <f t="shared" si="102"/>
        <v>5869.4199267510467</v>
      </c>
      <c r="AP76" s="4">
        <f t="shared" si="103"/>
        <v>16838.408590380295</v>
      </c>
      <c r="AQ76" s="4">
        <f t="shared" si="104"/>
        <v>0.35772191906093881</v>
      </c>
      <c r="AR76" s="4">
        <f t="shared" si="105"/>
        <v>-6.3710954063249465</v>
      </c>
      <c r="AS76" s="4">
        <f t="shared" si="106"/>
        <v>0.12751356951134968</v>
      </c>
      <c r="AT76" s="4">
        <f t="shared" si="107"/>
        <v>29.543031791676821</v>
      </c>
      <c r="AU76" s="4">
        <f t="shared" si="108"/>
        <v>18.142507458699715</v>
      </c>
      <c r="AV76" s="4">
        <f t="shared" si="109"/>
        <v>-0.1116970545030268</v>
      </c>
      <c r="AW76" s="4">
        <f t="shared" si="110"/>
        <v>-103.60906953924061</v>
      </c>
      <c r="AX76" s="4">
        <f t="shared" si="111"/>
        <v>-40.341311077312533</v>
      </c>
      <c r="AY76" s="4">
        <f t="shared" si="112"/>
        <v>70.405939809768199</v>
      </c>
      <c r="AZ76" s="4">
        <f t="shared" si="113"/>
        <v>386.69662317556191</v>
      </c>
      <c r="BA76" s="4">
        <f t="shared" si="114"/>
        <v>-3.6965601336803817</v>
      </c>
      <c r="BB76" s="4">
        <f t="shared" si="115"/>
        <v>-90.930568424022212</v>
      </c>
      <c r="BC76" s="4">
        <f t="shared" si="116"/>
        <v>-38.636446611640288</v>
      </c>
      <c r="BD76" s="4">
        <f t="shared" si="117"/>
        <v>149.94472829129359</v>
      </c>
      <c r="BE76" s="4">
        <f t="shared" si="118"/>
        <v>322.45772328080722</v>
      </c>
      <c r="BF76" s="4">
        <f t="shared" si="119"/>
        <v>-173.34595937805426</v>
      </c>
      <c r="BG76" s="4">
        <f t="shared" si="120"/>
        <v>-23.972486533325185</v>
      </c>
      <c r="BH76" s="4">
        <f t="shared" si="121"/>
        <v>-308.56258914395232</v>
      </c>
      <c r="BI76" s="4">
        <f t="shared" si="122"/>
        <v>-30.286825414610547</v>
      </c>
      <c r="BJ76" s="4">
        <f t="shared" si="123"/>
        <v>-608.08491944666787</v>
      </c>
      <c r="BK76" s="4">
        <f t="shared" si="124"/>
        <v>2.4908223612873539</v>
      </c>
      <c r="BL76" s="4">
        <f t="shared" si="125"/>
        <v>74.586661421910222</v>
      </c>
      <c r="BM76" s="4">
        <f t="shared" si="126"/>
        <v>131.44028446379667</v>
      </c>
      <c r="BN76" s="4">
        <f t="shared" si="127"/>
        <v>-82.324586782493185</v>
      </c>
      <c r="BO76" s="4">
        <f t="shared" si="128"/>
        <v>-644.92260277352534</v>
      </c>
      <c r="BP76" s="4">
        <f t="shared" si="129"/>
        <v>-317.59955093664581</v>
      </c>
      <c r="BQ76" s="4">
        <f t="shared" si="130"/>
        <v>-50.840229815955681</v>
      </c>
      <c r="BR76" s="4">
        <f t="shared" si="131"/>
        <v>220.05502028094688</v>
      </c>
      <c r="BS76" s="4">
        <f t="shared" si="132"/>
        <v>1455.4376230834434</v>
      </c>
      <c r="BT76" s="4">
        <f t="shared" si="133"/>
        <v>4636.5630847481643</v>
      </c>
      <c r="BU76" s="4">
        <f t="shared" si="134"/>
        <v>9.3246736840335309</v>
      </c>
      <c r="BV76" s="4">
        <f t="shared" si="135"/>
        <v>115.36421969846185</v>
      </c>
      <c r="BW76" s="4">
        <f t="shared" si="136"/>
        <v>-472.61736018882721</v>
      </c>
      <c r="BX76" s="4">
        <f t="shared" si="137"/>
        <v>-2089.6580392812998</v>
      </c>
      <c r="BY76" s="4">
        <f t="shared" si="138"/>
        <v>-4800.3872485546108</v>
      </c>
      <c r="BZ76" s="6">
        <f t="shared" si="139"/>
        <v>-0.89098357682087226</v>
      </c>
      <c r="CA76" s="7"/>
      <c r="CB76" s="6">
        <v>-0.8909934756925395</v>
      </c>
      <c r="CC76" s="6"/>
    </row>
    <row r="77" spans="1:81" x14ac:dyDescent="0.3">
      <c r="A77" s="4">
        <v>75</v>
      </c>
      <c r="B77" s="4">
        <v>71717652</v>
      </c>
      <c r="C77" s="4">
        <v>6.52</v>
      </c>
      <c r="D77" s="4">
        <v>4.3230000000000004</v>
      </c>
      <c r="E77" s="4">
        <v>0.85599999999999998</v>
      </c>
      <c r="F77" s="4">
        <v>3.004</v>
      </c>
      <c r="H77" s="6">
        <v>-2618.81325553337</v>
      </c>
      <c r="I77" s="4">
        <f t="shared" si="70"/>
        <v>302.61146969199996</v>
      </c>
      <c r="J77" s="4">
        <f t="shared" si="71"/>
        <v>-2127.4704723030004</v>
      </c>
      <c r="K77" s="4">
        <f t="shared" si="72"/>
        <v>2027.7155695999998</v>
      </c>
      <c r="L77" s="4">
        <f t="shared" si="73"/>
        <v>9707.4443844800007</v>
      </c>
      <c r="M77" s="4">
        <f t="shared" si="74"/>
        <v>164.25426900252799</v>
      </c>
      <c r="N77" s="4">
        <f t="shared" si="75"/>
        <v>71.302397039689197</v>
      </c>
      <c r="O77" s="4">
        <f t="shared" si="76"/>
        <v>-384.14909236095991</v>
      </c>
      <c r="P77" s="4">
        <f t="shared" si="77"/>
        <v>-750.9788610923199</v>
      </c>
      <c r="Q77" s="4">
        <f t="shared" si="78"/>
        <v>-224.27784207501753</v>
      </c>
      <c r="R77" s="4">
        <f t="shared" si="79"/>
        <v>669.62767501396797</v>
      </c>
      <c r="S77" s="4">
        <f t="shared" si="80"/>
        <v>5494.5568563371653</v>
      </c>
      <c r="T77" s="4">
        <f t="shared" si="81"/>
        <v>-304.13726348633594</v>
      </c>
      <c r="U77" s="4">
        <f t="shared" si="82"/>
        <v>-5286.8871125014402</v>
      </c>
      <c r="V77" s="4">
        <f t="shared" si="83"/>
        <v>-13415.983831963198</v>
      </c>
      <c r="W77" s="4">
        <f t="shared" si="84"/>
        <v>-10.029864538900799</v>
      </c>
      <c r="X77" s="4">
        <f t="shared" si="85"/>
        <v>24.384445825671943</v>
      </c>
      <c r="Y77" s="4">
        <f t="shared" si="86"/>
        <v>21.643660465405247</v>
      </c>
      <c r="Z77" s="4">
        <f t="shared" si="87"/>
        <v>-334.91844644631931</v>
      </c>
      <c r="AA77" s="4">
        <f t="shared" si="88"/>
        <v>28.30989259992969</v>
      </c>
      <c r="AB77" s="4">
        <f t="shared" si="89"/>
        <v>-259.9893353652725</v>
      </c>
      <c r="AC77" s="4">
        <f t="shared" si="90"/>
        <v>2.9386529101940235</v>
      </c>
      <c r="AD77" s="4">
        <f t="shared" si="91"/>
        <v>391.97983768206177</v>
      </c>
      <c r="AE77" s="4">
        <f t="shared" si="92"/>
        <v>333.77658314521</v>
      </c>
      <c r="AF77" s="4">
        <f t="shared" si="93"/>
        <v>702.8414141083025</v>
      </c>
      <c r="AG77" s="4">
        <f t="shared" si="94"/>
        <v>-34.975198043468865</v>
      </c>
      <c r="AH77" s="4">
        <f t="shared" si="95"/>
        <v>252.77680121552706</v>
      </c>
      <c r="AI77" s="4">
        <f t="shared" si="96"/>
        <v>270.60790044773182</v>
      </c>
      <c r="AJ77" s="4">
        <f t="shared" si="97"/>
        <v>-46.570090302673762</v>
      </c>
      <c r="AK77" s="4">
        <f t="shared" si="98"/>
        <v>-1380.1957139955114</v>
      </c>
      <c r="AL77" s="4">
        <f t="shared" si="99"/>
        <v>-4549.1225440084363</v>
      </c>
      <c r="AM77" s="4">
        <f t="shared" si="100"/>
        <v>-188.80586195204299</v>
      </c>
      <c r="AN77" s="4">
        <f t="shared" si="101"/>
        <v>711.79104104402654</v>
      </c>
      <c r="AO77" s="4">
        <f t="shared" si="102"/>
        <v>4617.6220341572816</v>
      </c>
      <c r="AP77" s="4">
        <f t="shared" si="103"/>
        <v>8118.2864789091691</v>
      </c>
      <c r="AQ77" s="4">
        <f t="shared" si="104"/>
        <v>0.13336404309408909</v>
      </c>
      <c r="AR77" s="4">
        <f t="shared" si="105"/>
        <v>-1.6421797711676265</v>
      </c>
      <c r="AS77" s="4">
        <f t="shared" si="106"/>
        <v>7.7843786177642135E-2</v>
      </c>
      <c r="AT77" s="4">
        <f t="shared" si="107"/>
        <v>11.052556384001774</v>
      </c>
      <c r="AU77" s="4">
        <f t="shared" si="108"/>
        <v>3.2330862301915064</v>
      </c>
      <c r="AV77" s="4">
        <f t="shared" si="109"/>
        <v>-4.7143590613781566E-2</v>
      </c>
      <c r="AW77" s="4">
        <f t="shared" si="110"/>
        <v>-26.799015445203622</v>
      </c>
      <c r="AX77" s="4">
        <f t="shared" si="111"/>
        <v>-40.326627435756627</v>
      </c>
      <c r="AY77" s="4">
        <f t="shared" si="112"/>
        <v>43.131178410508483</v>
      </c>
      <c r="AZ77" s="4">
        <f t="shared" si="113"/>
        <v>145.17523340530659</v>
      </c>
      <c r="BA77" s="4">
        <f t="shared" si="114"/>
        <v>-0.4554399690063532</v>
      </c>
      <c r="BB77" s="4">
        <f t="shared" si="115"/>
        <v>-26.534091972430303</v>
      </c>
      <c r="BC77" s="4">
        <f t="shared" si="116"/>
        <v>-6.9092615184538344</v>
      </c>
      <c r="BD77" s="4">
        <f t="shared" si="117"/>
        <v>103.63023528751198</v>
      </c>
      <c r="BE77" s="4">
        <f t="shared" si="118"/>
        <v>136.57405223372902</v>
      </c>
      <c r="BF77" s="4">
        <f t="shared" si="119"/>
        <v>-44.993446808027024</v>
      </c>
      <c r="BG77" s="4">
        <f t="shared" si="120"/>
        <v>-39.240029425062154</v>
      </c>
      <c r="BH77" s="4">
        <f t="shared" si="121"/>
        <v>-309.52778544768654</v>
      </c>
      <c r="BI77" s="4">
        <f t="shared" si="122"/>
        <v>-18.618738573730194</v>
      </c>
      <c r="BJ77" s="4">
        <f t="shared" si="123"/>
        <v>-229.08722017024118</v>
      </c>
      <c r="BK77" s="4">
        <f t="shared" si="124"/>
        <v>0.21217270335732613</v>
      </c>
      <c r="BL77" s="4">
        <f t="shared" si="125"/>
        <v>15.047656904607464</v>
      </c>
      <c r="BM77" s="4">
        <f t="shared" si="126"/>
        <v>16.250859373031581</v>
      </c>
      <c r="BN77" s="4">
        <f t="shared" si="127"/>
        <v>-39.336727774812324</v>
      </c>
      <c r="BO77" s="4">
        <f t="shared" si="128"/>
        <v>-188.84974305748941</v>
      </c>
      <c r="BP77" s="4">
        <f t="shared" si="129"/>
        <v>-56.993956865594882</v>
      </c>
      <c r="BQ77" s="4">
        <f t="shared" si="130"/>
        <v>-57.535664631093368</v>
      </c>
      <c r="BR77" s="4">
        <f t="shared" si="131"/>
        <v>152.61634187522273</v>
      </c>
      <c r="BS77" s="4">
        <f t="shared" si="132"/>
        <v>618.59084085425491</v>
      </c>
      <c r="BT77" s="4">
        <f t="shared" si="133"/>
        <v>1207.6641955844873</v>
      </c>
      <c r="BU77" s="4">
        <f t="shared" si="134"/>
        <v>24.993336149148856</v>
      </c>
      <c r="BV77" s="4">
        <f t="shared" si="135"/>
        <v>189.49678669327616</v>
      </c>
      <c r="BW77" s="4">
        <f t="shared" si="136"/>
        <v>-475.75188381282737</v>
      </c>
      <c r="BX77" s="4">
        <f t="shared" si="137"/>
        <v>-1289.098781953021</v>
      </c>
      <c r="BY77" s="4">
        <f t="shared" si="138"/>
        <v>-1814.7941842426078</v>
      </c>
      <c r="BZ77" s="6">
        <f t="shared" si="139"/>
        <v>-1.4956048393239598</v>
      </c>
      <c r="CA77" s="7"/>
      <c r="CB77" s="6">
        <v>-1.4956061445918749</v>
      </c>
      <c r="CC77" s="6"/>
    </row>
    <row r="78" spans="1:81" x14ac:dyDescent="0.3">
      <c r="A78" s="4">
        <v>76</v>
      </c>
      <c r="B78" s="4">
        <v>9636800</v>
      </c>
      <c r="C78" s="4">
        <v>3.1789999999999998</v>
      </c>
      <c r="D78" s="4">
        <v>5.7229999999999999</v>
      </c>
      <c r="E78" s="4">
        <v>0.503</v>
      </c>
      <c r="F78" s="4">
        <v>3.3820000000000001</v>
      </c>
      <c r="H78" s="6">
        <v>-2618.81325553337</v>
      </c>
      <c r="I78" s="4">
        <f t="shared" si="70"/>
        <v>147.5462978759</v>
      </c>
      <c r="J78" s="4">
        <f t="shared" si="71"/>
        <v>-2816.4500377029999</v>
      </c>
      <c r="K78" s="4">
        <f t="shared" si="72"/>
        <v>1191.5197797999999</v>
      </c>
      <c r="L78" s="4">
        <f t="shared" si="73"/>
        <v>10928.953697840001</v>
      </c>
      <c r="M78" s="4">
        <f t="shared" si="74"/>
        <v>39.048335865213616</v>
      </c>
      <c r="N78" s="4">
        <f t="shared" si="75"/>
        <v>46.024128411543586</v>
      </c>
      <c r="O78" s="4">
        <f t="shared" si="76"/>
        <v>-110.061889405996</v>
      </c>
      <c r="P78" s="4">
        <f t="shared" si="77"/>
        <v>-412.23448518606199</v>
      </c>
      <c r="Q78" s="4">
        <f t="shared" si="78"/>
        <v>-393.06410873801747</v>
      </c>
      <c r="R78" s="4">
        <f t="shared" si="79"/>
        <v>520.9141144640339</v>
      </c>
      <c r="S78" s="4">
        <f t="shared" si="80"/>
        <v>8189.2637206972631</v>
      </c>
      <c r="T78" s="4">
        <f t="shared" si="81"/>
        <v>-105.01662931453399</v>
      </c>
      <c r="U78" s="4">
        <f t="shared" si="82"/>
        <v>-3497.5822205452605</v>
      </c>
      <c r="V78" s="4">
        <f t="shared" si="83"/>
        <v>-17004.735303574802</v>
      </c>
      <c r="W78" s="4">
        <f t="shared" si="84"/>
        <v>-1.1625827215377846</v>
      </c>
      <c r="X78" s="4">
        <f t="shared" si="85"/>
        <v>7.6742733586356717</v>
      </c>
      <c r="Y78" s="4">
        <f t="shared" si="86"/>
        <v>3.0235057374770569</v>
      </c>
      <c r="Z78" s="4">
        <f t="shared" si="87"/>
        <v>-89.639331141629029</v>
      </c>
      <c r="AA78" s="4">
        <f t="shared" si="88"/>
        <v>24.191242484802601</v>
      </c>
      <c r="AB78" s="4">
        <f t="shared" si="89"/>
        <v>-98.6123246293389</v>
      </c>
      <c r="AC78" s="4">
        <f t="shared" si="90"/>
        <v>2.1355188598430668</v>
      </c>
      <c r="AD78" s="4">
        <f t="shared" si="91"/>
        <v>65.992579104170773</v>
      </c>
      <c r="AE78" s="4">
        <f t="shared" si="92"/>
        <v>107.66305325997156</v>
      </c>
      <c r="AF78" s="4">
        <f t="shared" si="93"/>
        <v>434.35780113184256</v>
      </c>
      <c r="AG78" s="4">
        <f t="shared" si="94"/>
        <v>-81.147606291167065</v>
      </c>
      <c r="AH78" s="4">
        <f t="shared" si="95"/>
        <v>260.32055101690469</v>
      </c>
      <c r="AI78" s="4">
        <f t="shared" si="96"/>
        <v>533.93841436530101</v>
      </c>
      <c r="AJ78" s="4">
        <f t="shared" si="97"/>
        <v>-21.287959298413899</v>
      </c>
      <c r="AK78" s="4">
        <f t="shared" si="98"/>
        <v>-1208.7794833891826</v>
      </c>
      <c r="AL78" s="4">
        <f t="shared" si="99"/>
        <v>-7633.3204779948828</v>
      </c>
      <c r="AM78" s="4">
        <f t="shared" si="100"/>
        <v>-38.30876355955607</v>
      </c>
      <c r="AN78" s="4">
        <f t="shared" si="101"/>
        <v>276.70348764719529</v>
      </c>
      <c r="AO78" s="4">
        <f t="shared" si="102"/>
        <v>3439.2199552250518</v>
      </c>
      <c r="AP78" s="4">
        <f t="shared" si="103"/>
        <v>11584.716159149026</v>
      </c>
      <c r="AQ78" s="4">
        <f t="shared" si="104"/>
        <v>7.5372076790498023E-3</v>
      </c>
      <c r="AR78" s="4">
        <f t="shared" si="105"/>
        <v>-0.25199272619292118</v>
      </c>
      <c r="AS78" s="4">
        <f t="shared" si="106"/>
        <v>5.3020884448350923E-3</v>
      </c>
      <c r="AT78" s="4">
        <f t="shared" si="107"/>
        <v>1.4423319056343886</v>
      </c>
      <c r="AU78" s="4">
        <f t="shared" si="108"/>
        <v>1.347039010093821</v>
      </c>
      <c r="AV78" s="4">
        <f t="shared" si="109"/>
        <v>-8.7184895610201239E-3</v>
      </c>
      <c r="AW78" s="4">
        <f t="shared" si="110"/>
        <v>-9.4954792414043609</v>
      </c>
      <c r="AX78" s="4">
        <f t="shared" si="111"/>
        <v>-3.310291265306279</v>
      </c>
      <c r="AY78" s="4">
        <f t="shared" si="112"/>
        <v>6.7833633962648827</v>
      </c>
      <c r="AZ78" s="4">
        <f t="shared" si="113"/>
        <v>43.744730688200313</v>
      </c>
      <c r="BA78" s="4">
        <f t="shared" si="114"/>
        <v>-0.51521631201320506</v>
      </c>
      <c r="BB78" s="4">
        <f t="shared" si="115"/>
        <v>-13.323502368537142</v>
      </c>
      <c r="BC78" s="4">
        <f t="shared" si="116"/>
        <v>-6.6469935765523855</v>
      </c>
      <c r="BD78" s="4">
        <f t="shared" si="117"/>
        <v>23.097042182888945</v>
      </c>
      <c r="BE78" s="4">
        <f t="shared" si="118"/>
        <v>58.320002408129419</v>
      </c>
      <c r="BF78" s="4">
        <f t="shared" si="119"/>
        <v>-36.811037400189349</v>
      </c>
      <c r="BG78" s="4">
        <f t="shared" si="120"/>
        <v>-3.8819945174099328</v>
      </c>
      <c r="BH78" s="4">
        <f t="shared" si="121"/>
        <v>-58.668459986287232</v>
      </c>
      <c r="BI78" s="4">
        <f t="shared" si="122"/>
        <v>-6.7613708427100514</v>
      </c>
      <c r="BJ78" s="4">
        <f t="shared" si="123"/>
        <v>-159.39137581716091</v>
      </c>
      <c r="BK78" s="4">
        <f t="shared" si="124"/>
        <v>0.65169374314936868</v>
      </c>
      <c r="BL78" s="4">
        <f t="shared" si="125"/>
        <v>20.515335894046842</v>
      </c>
      <c r="BM78" s="4">
        <f t="shared" si="126"/>
        <v>42.44881179499572</v>
      </c>
      <c r="BN78" s="4">
        <f t="shared" si="127"/>
        <v>-23.804753671563827</v>
      </c>
      <c r="BO78" s="4">
        <f t="shared" si="128"/>
        <v>-218.95825048956075</v>
      </c>
      <c r="BP78" s="4">
        <f t="shared" si="129"/>
        <v>-126.60567702751406</v>
      </c>
      <c r="BQ78" s="4">
        <f t="shared" si="130"/>
        <v>-15.45461910092139</v>
      </c>
      <c r="BR78" s="4">
        <f t="shared" si="131"/>
        <v>78.541947487344984</v>
      </c>
      <c r="BS78" s="4">
        <f t="shared" si="132"/>
        <v>609.93501502146285</v>
      </c>
      <c r="BT78" s="4">
        <f t="shared" si="133"/>
        <v>2281.4225287847567</v>
      </c>
      <c r="BU78" s="4">
        <f t="shared" si="134"/>
        <v>2.9798960314523395</v>
      </c>
      <c r="BV78" s="4">
        <f t="shared" si="135"/>
        <v>43.287069565739223</v>
      </c>
      <c r="BW78" s="4">
        <f t="shared" si="136"/>
        <v>-208.2170586751626</v>
      </c>
      <c r="BX78" s="4">
        <f t="shared" si="137"/>
        <v>-1080.939639303833</v>
      </c>
      <c r="BY78" s="4">
        <f t="shared" si="138"/>
        <v>-2915.560639512456</v>
      </c>
      <c r="BZ78" s="6">
        <f t="shared" si="139"/>
        <v>-1.0872658466278153</v>
      </c>
      <c r="CA78" s="7"/>
      <c r="CB78" s="6">
        <v>-1.087266187872046</v>
      </c>
      <c r="CC78" s="6"/>
    </row>
    <row r="79" spans="1:81" x14ac:dyDescent="0.3">
      <c r="A79" s="4">
        <v>77</v>
      </c>
      <c r="B79" s="4">
        <v>44446344</v>
      </c>
      <c r="C79" s="4">
        <v>14.269</v>
      </c>
      <c r="D79" s="4">
        <v>7.8019999999999996</v>
      </c>
      <c r="E79" s="4">
        <v>0.86299999999999999</v>
      </c>
      <c r="F79" s="4">
        <v>3.0219999999999998</v>
      </c>
      <c r="H79" s="6">
        <v>-2618.81325553337</v>
      </c>
      <c r="I79" s="4">
        <f t="shared" si="70"/>
        <v>662.26427316490003</v>
      </c>
      <c r="J79" s="4">
        <f t="shared" si="71"/>
        <v>-3839.5846923219997</v>
      </c>
      <c r="K79" s="4">
        <f t="shared" si="72"/>
        <v>2044.2973557999999</v>
      </c>
      <c r="L79" s="4">
        <f t="shared" si="73"/>
        <v>9765.6114946399994</v>
      </c>
      <c r="M79" s="4">
        <f t="shared" si="74"/>
        <v>786.69891324903608</v>
      </c>
      <c r="N79" s="4">
        <f t="shared" si="75"/>
        <v>281.62472642441327</v>
      </c>
      <c r="O79" s="4">
        <f t="shared" si="76"/>
        <v>-847.58406793787594</v>
      </c>
      <c r="P79" s="4">
        <f t="shared" si="77"/>
        <v>-1653.3628928757219</v>
      </c>
      <c r="Q79" s="4">
        <f t="shared" si="78"/>
        <v>-730.51273217782989</v>
      </c>
      <c r="R79" s="4">
        <f t="shared" si="79"/>
        <v>1218.4034940678359</v>
      </c>
      <c r="S79" s="4">
        <f t="shared" si="80"/>
        <v>9975.8041399713475</v>
      </c>
      <c r="T79" s="4">
        <f t="shared" si="81"/>
        <v>-309.13180953229397</v>
      </c>
      <c r="U79" s="4">
        <f t="shared" si="82"/>
        <v>-5362.0591442656596</v>
      </c>
      <c r="V79" s="4">
        <f t="shared" si="83"/>
        <v>-13577.242958086797</v>
      </c>
      <c r="W79" s="4">
        <f t="shared" si="84"/>
        <v>-105.13150807242772</v>
      </c>
      <c r="X79" s="4">
        <f t="shared" si="85"/>
        <v>210.77809978116008</v>
      </c>
      <c r="Y79" s="4">
        <f t="shared" si="86"/>
        <v>104.51042836372294</v>
      </c>
      <c r="Z79" s="4">
        <f t="shared" si="87"/>
        <v>-1613.709977159021</v>
      </c>
      <c r="AA79" s="4">
        <f t="shared" si="88"/>
        <v>201.80205520018077</v>
      </c>
      <c r="AB79" s="4">
        <f t="shared" si="89"/>
        <v>-1035.2833213756292</v>
      </c>
      <c r="AC79" s="4">
        <f t="shared" si="90"/>
        <v>11.676413815302496</v>
      </c>
      <c r="AD79" s="4">
        <f t="shared" si="91"/>
        <v>871.93424144316009</v>
      </c>
      <c r="AE79" s="4">
        <f t="shared" si="92"/>
        <v>740.85526128448817</v>
      </c>
      <c r="AF79" s="4">
        <f t="shared" si="93"/>
        <v>1556.6549228935485</v>
      </c>
      <c r="AG79" s="4">
        <f t="shared" si="94"/>
        <v>-205.59962284376459</v>
      </c>
      <c r="AH79" s="4">
        <f t="shared" si="95"/>
        <v>830.07181111009197</v>
      </c>
      <c r="AI79" s="4">
        <f t="shared" si="96"/>
        <v>886.69941983998024</v>
      </c>
      <c r="AJ79" s="4">
        <f t="shared" si="97"/>
        <v>-85.428317403109048</v>
      </c>
      <c r="AK79" s="4">
        <f t="shared" si="98"/>
        <v>-2526.3466849816009</v>
      </c>
      <c r="AL79" s="4">
        <f t="shared" si="99"/>
        <v>-8308.7828679624618</v>
      </c>
      <c r="AM79" s="4">
        <f t="shared" si="100"/>
        <v>-193.47576255859462</v>
      </c>
      <c r="AN79" s="4">
        <f t="shared" si="101"/>
        <v>727.81518302126631</v>
      </c>
      <c r="AO79" s="4">
        <f t="shared" si="102"/>
        <v>4711.3403183680939</v>
      </c>
      <c r="AP79" s="4">
        <f t="shared" si="103"/>
        <v>8265.0972441886806</v>
      </c>
      <c r="AQ79" s="4">
        <f t="shared" si="104"/>
        <v>3.0593032078532709</v>
      </c>
      <c r="AR79" s="4">
        <f t="shared" si="105"/>
        <v>-31.065563462081851</v>
      </c>
      <c r="AS79" s="4">
        <f t="shared" si="106"/>
        <v>0.82261913750509108</v>
      </c>
      <c r="AT79" s="4">
        <f t="shared" si="107"/>
        <v>116.54538945153921</v>
      </c>
      <c r="AU79" s="4">
        <f t="shared" si="108"/>
        <v>50.437156373317912</v>
      </c>
      <c r="AV79" s="4">
        <f t="shared" si="109"/>
        <v>-0.41083958580000624</v>
      </c>
      <c r="AW79" s="4">
        <f t="shared" si="110"/>
        <v>-233.03758209179</v>
      </c>
      <c r="AX79" s="4">
        <f t="shared" si="111"/>
        <v>-196.31697318566597</v>
      </c>
      <c r="AY79" s="4">
        <f t="shared" si="112"/>
        <v>209.51483105668794</v>
      </c>
      <c r="AZ79" s="4">
        <f t="shared" si="113"/>
        <v>703.67720186347378</v>
      </c>
      <c r="BA79" s="4">
        <f t="shared" si="114"/>
        <v>-5.8592120366684197</v>
      </c>
      <c r="BB79" s="4">
        <f t="shared" si="115"/>
        <v>-190.69030979564869</v>
      </c>
      <c r="BC79" s="4">
        <f t="shared" si="116"/>
        <v>-49.546562172983812</v>
      </c>
      <c r="BD79" s="4">
        <f t="shared" si="117"/>
        <v>416.03244289272652</v>
      </c>
      <c r="BE79" s="4">
        <f t="shared" si="118"/>
        <v>547.09961700682663</v>
      </c>
      <c r="BF79" s="4">
        <f t="shared" si="119"/>
        <v>-179.84773819220567</v>
      </c>
      <c r="BG79" s="4">
        <f t="shared" si="120"/>
        <v>-88.000747204816136</v>
      </c>
      <c r="BH79" s="4">
        <f t="shared" si="121"/>
        <v>-692.65053895695905</v>
      </c>
      <c r="BI79" s="4">
        <f t="shared" si="122"/>
        <v>-41.574045846082811</v>
      </c>
      <c r="BJ79" s="4">
        <f t="shared" si="123"/>
        <v>-510.42319257784078</v>
      </c>
      <c r="BK79" s="4">
        <f t="shared" si="124"/>
        <v>2.2509837077740551</v>
      </c>
      <c r="BL79" s="4">
        <f t="shared" si="125"/>
        <v>89.18011803980616</v>
      </c>
      <c r="BM79" s="4">
        <f t="shared" si="126"/>
        <v>96.102125951653719</v>
      </c>
      <c r="BN79" s="4">
        <f t="shared" si="127"/>
        <v>-130.23080145550816</v>
      </c>
      <c r="BO79" s="4">
        <f t="shared" si="128"/>
        <v>-623.86321916271379</v>
      </c>
      <c r="BP79" s="4">
        <f t="shared" si="129"/>
        <v>-187.87080384639603</v>
      </c>
      <c r="BQ79" s="4">
        <f t="shared" si="130"/>
        <v>-106.40669099299309</v>
      </c>
      <c r="BR79" s="4">
        <f t="shared" si="131"/>
        <v>281.63741126476793</v>
      </c>
      <c r="BS79" s="4">
        <f t="shared" si="132"/>
        <v>1139.0696755389249</v>
      </c>
      <c r="BT79" s="4">
        <f t="shared" si="133"/>
        <v>2218.9652249361361</v>
      </c>
      <c r="BU79" s="4">
        <f t="shared" si="134"/>
        <v>25.820958188956414</v>
      </c>
      <c r="BV79" s="4">
        <f t="shared" si="135"/>
        <v>195.34732780367648</v>
      </c>
      <c r="BW79" s="4">
        <f t="shared" si="136"/>
        <v>-489.37709887205534</v>
      </c>
      <c r="BX79" s="4">
        <f t="shared" si="137"/>
        <v>-1323.1431235831144</v>
      </c>
      <c r="BY79" s="4">
        <f t="shared" si="138"/>
        <v>-1858.6837649543324</v>
      </c>
      <c r="BZ79" s="6">
        <f t="shared" si="139"/>
        <v>-1.5462400149808673</v>
      </c>
      <c r="CA79" s="7"/>
      <c r="CB79" s="6">
        <v>-1.5462484797567411</v>
      </c>
      <c r="CC79" s="6"/>
    </row>
    <row r="80" spans="1:81" x14ac:dyDescent="0.3">
      <c r="A80" s="4">
        <v>78</v>
      </c>
      <c r="B80" s="4">
        <v>45485140</v>
      </c>
      <c r="C80" s="4">
        <v>2.7109999999999999</v>
      </c>
      <c r="D80" s="4">
        <v>4.1399999999999997</v>
      </c>
      <c r="E80" s="4">
        <v>0.61299999999999999</v>
      </c>
      <c r="F80" s="4">
        <v>3.7589999999999999</v>
      </c>
      <c r="H80" s="6">
        <v>-2618.81325553337</v>
      </c>
      <c r="I80" s="4">
        <f t="shared" si="70"/>
        <v>125.82510649309999</v>
      </c>
      <c r="J80" s="4">
        <f t="shared" si="71"/>
        <v>-2037.4110005399998</v>
      </c>
      <c r="K80" s="4">
        <f t="shared" si="72"/>
        <v>1452.0907057999998</v>
      </c>
      <c r="L80" s="4">
        <f t="shared" si="73"/>
        <v>12147.231505079999</v>
      </c>
      <c r="M80" s="4">
        <f t="shared" si="74"/>
        <v>28.397526237667218</v>
      </c>
      <c r="N80" s="4">
        <f t="shared" si="75"/>
        <v>28.392338074375793</v>
      </c>
      <c r="O80" s="4">
        <f t="shared" si="76"/>
        <v>-114.38483316904397</v>
      </c>
      <c r="P80" s="4">
        <f t="shared" si="77"/>
        <v>-390.73474527887095</v>
      </c>
      <c r="Q80" s="4">
        <f t="shared" si="78"/>
        <v>-205.69161116699999</v>
      </c>
      <c r="R80" s="4">
        <f t="shared" si="79"/>
        <v>459.2352430825199</v>
      </c>
      <c r="S80" s="4">
        <f t="shared" si="80"/>
        <v>6584.46016638942</v>
      </c>
      <c r="T80" s="4">
        <f t="shared" si="81"/>
        <v>-155.97071163829398</v>
      </c>
      <c r="U80" s="4">
        <f t="shared" si="82"/>
        <v>-4737.6082303277708</v>
      </c>
      <c r="V80" s="4">
        <f t="shared" si="83"/>
        <v>-21007.158923513696</v>
      </c>
      <c r="W80" s="4">
        <f t="shared" si="84"/>
        <v>-0.72100924451981119</v>
      </c>
      <c r="X80" s="4">
        <f t="shared" si="85"/>
        <v>4.0373076000619372</v>
      </c>
      <c r="Y80" s="4">
        <f t="shared" si="86"/>
        <v>2.6796697019038178</v>
      </c>
      <c r="Z80" s="4">
        <f t="shared" si="87"/>
        <v>-72.456159222779604</v>
      </c>
      <c r="AA80" s="4">
        <f t="shared" si="88"/>
        <v>10.795688746385474</v>
      </c>
      <c r="AB80" s="4">
        <f t="shared" si="89"/>
        <v>-74.137727729080694</v>
      </c>
      <c r="AC80" s="4">
        <f t="shared" si="90"/>
        <v>1.4642583813298786</v>
      </c>
      <c r="AD80" s="4">
        <f t="shared" si="91"/>
        <v>83.583214643086464</v>
      </c>
      <c r="AE80" s="4">
        <f t="shared" si="92"/>
        <v>124.36463327702853</v>
      </c>
      <c r="AF80" s="4">
        <f t="shared" si="93"/>
        <v>457.59793977601288</v>
      </c>
      <c r="AG80" s="4">
        <f t="shared" si="94"/>
        <v>-30.718888605545178</v>
      </c>
      <c r="AH80" s="4">
        <f t="shared" si="95"/>
        <v>166.01760132537382</v>
      </c>
      <c r="AI80" s="4">
        <f t="shared" si="96"/>
        <v>310.5582568039236</v>
      </c>
      <c r="AJ80" s="4">
        <f t="shared" si="97"/>
        <v>-22.871550404643404</v>
      </c>
      <c r="AK80" s="4">
        <f t="shared" si="98"/>
        <v>-1184.4449680567843</v>
      </c>
      <c r="AL80" s="4">
        <f t="shared" si="99"/>
        <v>-6821.6202053434354</v>
      </c>
      <c r="AM80" s="4">
        <f t="shared" si="100"/>
        <v>-69.33868538366562</v>
      </c>
      <c r="AN80" s="4">
        <f t="shared" si="101"/>
        <v>456.77080163099947</v>
      </c>
      <c r="AO80" s="4">
        <f t="shared" si="102"/>
        <v>5177.8550241832063</v>
      </c>
      <c r="AP80" s="4">
        <f t="shared" si="103"/>
        <v>15906.754004347884</v>
      </c>
      <c r="AQ80" s="4">
        <f t="shared" si="104"/>
        <v>3.9862675159995182E-3</v>
      </c>
      <c r="AR80" s="4">
        <f t="shared" si="105"/>
        <v>-0.11305286407108298</v>
      </c>
      <c r="AS80" s="4">
        <f t="shared" si="106"/>
        <v>4.0073421686665778E-3</v>
      </c>
      <c r="AT80" s="4">
        <f t="shared" si="107"/>
        <v>0.99421635264788055</v>
      </c>
      <c r="AU80" s="4">
        <f t="shared" si="108"/>
        <v>0.51263864574545859</v>
      </c>
      <c r="AV80" s="4">
        <f t="shared" si="109"/>
        <v>-5.5896976321843945E-3</v>
      </c>
      <c r="AW80" s="4">
        <f t="shared" si="110"/>
        <v>-5.5522649949893346</v>
      </c>
      <c r="AX80" s="4">
        <f t="shared" si="111"/>
        <v>-3.5754372985106961</v>
      </c>
      <c r="AY80" s="4">
        <f t="shared" si="112"/>
        <v>6.6821200650973047</v>
      </c>
      <c r="AZ80" s="4">
        <f t="shared" si="113"/>
        <v>39.300780138257629</v>
      </c>
      <c r="BA80" s="4">
        <f t="shared" si="114"/>
        <v>-0.16632532466603955</v>
      </c>
      <c r="BB80" s="4">
        <f t="shared" si="115"/>
        <v>-7.2460791405359481</v>
      </c>
      <c r="BC80" s="4">
        <f t="shared" si="116"/>
        <v>-3.2969788534905771</v>
      </c>
      <c r="BD80" s="4">
        <f t="shared" si="117"/>
        <v>21.162010781781973</v>
      </c>
      <c r="BE80" s="4">
        <f t="shared" si="118"/>
        <v>48.733132712489052</v>
      </c>
      <c r="BF80" s="4">
        <f t="shared" si="119"/>
        <v>-28.053760601370428</v>
      </c>
      <c r="BG80" s="4">
        <f t="shared" si="120"/>
        <v>-5.9919940818093851</v>
      </c>
      <c r="BH80" s="4">
        <f t="shared" si="121"/>
        <v>-82.589983514605166</v>
      </c>
      <c r="BI80" s="4">
        <f t="shared" si="122"/>
        <v>-8.6808785545745089</v>
      </c>
      <c r="BJ80" s="4">
        <f t="shared" si="123"/>
        <v>-186.63795892567958</v>
      </c>
      <c r="BK80" s="4">
        <f t="shared" si="124"/>
        <v>0.1784637162267444</v>
      </c>
      <c r="BL80" s="4">
        <f t="shared" si="125"/>
        <v>9.4645704242659789</v>
      </c>
      <c r="BM80" s="4">
        <f t="shared" si="126"/>
        <v>17.860517832464289</v>
      </c>
      <c r="BN80" s="4">
        <f t="shared" si="127"/>
        <v>-18.501283634502862</v>
      </c>
      <c r="BO80" s="4">
        <f t="shared" si="128"/>
        <v>-155.20500304925045</v>
      </c>
      <c r="BP80" s="4">
        <f t="shared" si="129"/>
        <v>-81.847197844366477</v>
      </c>
      <c r="BQ80" s="4">
        <f t="shared" si="130"/>
        <v>-20.235426825122662</v>
      </c>
      <c r="BR80" s="4">
        <f t="shared" si="131"/>
        <v>93.791171878806949</v>
      </c>
      <c r="BS80" s="4">
        <f t="shared" si="132"/>
        <v>664.27834585194159</v>
      </c>
      <c r="BT80" s="4">
        <f t="shared" si="133"/>
        <v>2266.096961193065</v>
      </c>
      <c r="BU80" s="4">
        <f t="shared" si="134"/>
        <v>6.5731125648952435</v>
      </c>
      <c r="BV80" s="4">
        <f t="shared" si="135"/>
        <v>87.083199492243935</v>
      </c>
      <c r="BW80" s="4">
        <f t="shared" si="136"/>
        <v>-382.03111065181525</v>
      </c>
      <c r="BX80" s="4">
        <f t="shared" si="137"/>
        <v>-1808.7981286853956</v>
      </c>
      <c r="BY80" s="4">
        <f t="shared" si="138"/>
        <v>-4449.5589855490007</v>
      </c>
      <c r="BZ80" s="6">
        <f t="shared" si="139"/>
        <v>-1.3397184160021425</v>
      </c>
      <c r="CA80" s="7"/>
      <c r="CB80" s="6">
        <v>-1.339717913002914</v>
      </c>
      <c r="CC80" s="6"/>
    </row>
    <row r="81" spans="1:81" x14ac:dyDescent="0.3">
      <c r="A81" s="4">
        <v>79</v>
      </c>
      <c r="B81" s="4">
        <v>46174762</v>
      </c>
      <c r="C81" s="4">
        <v>2.6850000000000001</v>
      </c>
      <c r="D81" s="4">
        <v>5.0869999999999997</v>
      </c>
      <c r="E81" s="4">
        <v>0.51</v>
      </c>
      <c r="F81" s="4">
        <v>3.2170000000000001</v>
      </c>
      <c r="H81" s="6">
        <v>-2618.81325553337</v>
      </c>
      <c r="I81" s="4">
        <f t="shared" si="70"/>
        <v>124.6183736385</v>
      </c>
      <c r="J81" s="4">
        <f t="shared" si="71"/>
        <v>-2503.4564637069998</v>
      </c>
      <c r="K81" s="4">
        <f t="shared" si="72"/>
        <v>1208.101566</v>
      </c>
      <c r="L81" s="4">
        <f t="shared" si="73"/>
        <v>10395.755188040001</v>
      </c>
      <c r="M81" s="4">
        <f t="shared" si="74"/>
        <v>27.855442020064501</v>
      </c>
      <c r="N81" s="4">
        <f t="shared" si="75"/>
        <v>34.552329021055648</v>
      </c>
      <c r="O81" s="4">
        <f t="shared" si="76"/>
        <v>-94.252508389799999</v>
      </c>
      <c r="P81" s="4">
        <f t="shared" si="77"/>
        <v>-331.18872202195496</v>
      </c>
      <c r="Q81" s="4">
        <f t="shared" si="78"/>
        <v>-310.55560577231745</v>
      </c>
      <c r="R81" s="4">
        <f t="shared" si="79"/>
        <v>469.46833802081994</v>
      </c>
      <c r="S81" s="4">
        <f t="shared" si="80"/>
        <v>6924.0517703265932</v>
      </c>
      <c r="T81" s="4">
        <f t="shared" si="81"/>
        <v>-107.9598958326</v>
      </c>
      <c r="U81" s="4">
        <f t="shared" si="82"/>
        <v>-3373.2426386577004</v>
      </c>
      <c r="V81" s="4">
        <f t="shared" si="83"/>
        <v>-15385.966813395302</v>
      </c>
      <c r="W81" s="4">
        <f t="shared" si="84"/>
        <v>-0.70046292040714697</v>
      </c>
      <c r="X81" s="4">
        <f t="shared" si="85"/>
        <v>4.8661196209301663</v>
      </c>
      <c r="Y81" s="4">
        <f t="shared" si="86"/>
        <v>2.1868576404366262</v>
      </c>
      <c r="Z81" s="4">
        <f t="shared" si="87"/>
        <v>-60.825206104281804</v>
      </c>
      <c r="AA81" s="4">
        <f t="shared" si="88"/>
        <v>16.143136547092205</v>
      </c>
      <c r="AB81" s="4">
        <f t="shared" si="89"/>
        <v>-75.062865875199975</v>
      </c>
      <c r="AC81" s="4">
        <f t="shared" si="90"/>
        <v>1.5250097585202509</v>
      </c>
      <c r="AD81" s="4">
        <f t="shared" si="91"/>
        <v>57.299818441682703</v>
      </c>
      <c r="AE81" s="4">
        <f t="shared" si="92"/>
        <v>87.700102871425784</v>
      </c>
      <c r="AF81" s="4">
        <f t="shared" si="93"/>
        <v>331.93748819268382</v>
      </c>
      <c r="AG81" s="4">
        <f t="shared" si="94"/>
        <v>-56.988823144910505</v>
      </c>
      <c r="AH81" s="4">
        <f t="shared" si="95"/>
        <v>208.53868437609609</v>
      </c>
      <c r="AI81" s="4">
        <f t="shared" si="96"/>
        <v>401.27731464671626</v>
      </c>
      <c r="AJ81" s="4">
        <f t="shared" si="97"/>
        <v>-19.452543940636556</v>
      </c>
      <c r="AK81" s="4">
        <f t="shared" si="98"/>
        <v>-1036.2504222394593</v>
      </c>
      <c r="AL81" s="4">
        <f t="shared" si="99"/>
        <v>-6139.1239680093558</v>
      </c>
      <c r="AM81" s="4">
        <f t="shared" si="100"/>
        <v>-39.930496307387997</v>
      </c>
      <c r="AN81" s="4">
        <f t="shared" si="101"/>
        <v>270.58048623029072</v>
      </c>
      <c r="AO81" s="4">
        <f t="shared" si="102"/>
        <v>3155.1285488548351</v>
      </c>
      <c r="AP81" s="4">
        <f t="shared" si="103"/>
        <v>9970.5191138381342</v>
      </c>
      <c r="AQ81" s="4">
        <f t="shared" si="104"/>
        <v>3.8355312931938382E-3</v>
      </c>
      <c r="AR81" s="4">
        <f t="shared" si="105"/>
        <v>-0.13495447283359988</v>
      </c>
      <c r="AS81" s="4">
        <f t="shared" si="106"/>
        <v>3.2389962513892151E-3</v>
      </c>
      <c r="AT81" s="4">
        <f t="shared" si="107"/>
        <v>0.82661628046225388</v>
      </c>
      <c r="AU81" s="4">
        <f t="shared" si="108"/>
        <v>0.75921307832711993</v>
      </c>
      <c r="AV81" s="4">
        <f t="shared" si="109"/>
        <v>-5.6051721939088658E-3</v>
      </c>
      <c r="AW81" s="4">
        <f t="shared" si="110"/>
        <v>-5.7271672014363668</v>
      </c>
      <c r="AX81" s="4">
        <f t="shared" si="111"/>
        <v>-2.4276055092027229</v>
      </c>
      <c r="AY81" s="4">
        <f t="shared" si="112"/>
        <v>4.6669404195366946</v>
      </c>
      <c r="AZ81" s="4">
        <f t="shared" si="113"/>
        <v>28.235025655403785</v>
      </c>
      <c r="BA81" s="4">
        <f t="shared" si="114"/>
        <v>-0.30560280902272013</v>
      </c>
      <c r="BB81" s="4">
        <f t="shared" si="115"/>
        <v>-9.0146805226535136</v>
      </c>
      <c r="BC81" s="4">
        <f t="shared" si="116"/>
        <v>-4.2192228289469194</v>
      </c>
      <c r="BD81" s="4">
        <f t="shared" si="117"/>
        <v>17.825942587416407</v>
      </c>
      <c r="BE81" s="4">
        <f t="shared" si="118"/>
        <v>42.226874330943367</v>
      </c>
      <c r="BF81" s="4">
        <f t="shared" si="119"/>
        <v>-25.004877193095027</v>
      </c>
      <c r="BG81" s="4">
        <f t="shared" si="120"/>
        <v>-3.417552956989764</v>
      </c>
      <c r="BH81" s="4">
        <f t="shared" si="121"/>
        <v>-48.455188815661415</v>
      </c>
      <c r="BI81" s="4">
        <f t="shared" si="122"/>
        <v>-5.2389665420985461</v>
      </c>
      <c r="BJ81" s="4">
        <f t="shared" si="123"/>
        <v>-115.86465008398673</v>
      </c>
      <c r="BK81" s="4">
        <f t="shared" si="124"/>
        <v>0.40681365160648153</v>
      </c>
      <c r="BL81" s="4">
        <f t="shared" si="125"/>
        <v>14.608135823803355</v>
      </c>
      <c r="BM81" s="4">
        <f t="shared" si="126"/>
        <v>28.356783733787747</v>
      </c>
      <c r="BN81" s="4">
        <f t="shared" si="127"/>
        <v>-19.334994699076127</v>
      </c>
      <c r="BO81" s="4">
        <f t="shared" si="128"/>
        <v>-166.84644073337392</v>
      </c>
      <c r="BP81" s="4">
        <f t="shared" si="129"/>
        <v>-90.507397829053588</v>
      </c>
      <c r="BQ81" s="4">
        <f t="shared" si="130"/>
        <v>-14.318676282169649</v>
      </c>
      <c r="BR81" s="4">
        <f t="shared" si="131"/>
        <v>68.268678644527881</v>
      </c>
      <c r="BS81" s="4">
        <f t="shared" si="132"/>
        <v>497.36894379337798</v>
      </c>
      <c r="BT81" s="4">
        <f t="shared" si="133"/>
        <v>1745.3241196049034</v>
      </c>
      <c r="BU81" s="4">
        <f t="shared" si="134"/>
        <v>3.149269854063768</v>
      </c>
      <c r="BV81" s="4">
        <f t="shared" si="135"/>
        <v>42.918270914102933</v>
      </c>
      <c r="BW81" s="4">
        <f t="shared" si="136"/>
        <v>-193.67590972912112</v>
      </c>
      <c r="BX81" s="4">
        <f t="shared" si="137"/>
        <v>-943.2699672708128</v>
      </c>
      <c r="BY81" s="4">
        <f t="shared" si="138"/>
        <v>-2386.8872747695077</v>
      </c>
      <c r="BZ81" s="6">
        <f t="shared" si="139"/>
        <v>-1.3730362872338446</v>
      </c>
      <c r="CA81" s="7"/>
      <c r="CB81" s="6">
        <v>-1.37303546937801</v>
      </c>
      <c r="CC81" s="6"/>
    </row>
    <row r="82" spans="1:81" x14ac:dyDescent="0.3">
      <c r="A82" s="4">
        <v>80</v>
      </c>
      <c r="B82" s="4">
        <v>46847970</v>
      </c>
      <c r="C82" s="4">
        <v>4.2770000000000001</v>
      </c>
      <c r="D82" s="4">
        <v>4.1859999999999999</v>
      </c>
      <c r="E82" s="4">
        <v>0.997</v>
      </c>
      <c r="F82" s="4">
        <v>3.0539999999999998</v>
      </c>
      <c r="H82" s="6">
        <v>-2618.81325553337</v>
      </c>
      <c r="I82" s="4">
        <f t="shared" si="70"/>
        <v>198.50755458170002</v>
      </c>
      <c r="J82" s="4">
        <f t="shared" si="71"/>
        <v>-2060.0489005459999</v>
      </c>
      <c r="K82" s="4">
        <f t="shared" si="72"/>
        <v>2361.7201201999997</v>
      </c>
      <c r="L82" s="4">
        <f t="shared" si="73"/>
        <v>9869.0196904799996</v>
      </c>
      <c r="M82" s="4">
        <f t="shared" si="74"/>
        <v>70.680558873977787</v>
      </c>
      <c r="N82" s="4">
        <f t="shared" si="75"/>
        <v>45.290777183136939</v>
      </c>
      <c r="O82" s="4">
        <f t="shared" si="76"/>
        <v>-293.50321280025196</v>
      </c>
      <c r="P82" s="4">
        <f t="shared" si="77"/>
        <v>-500.82785031388192</v>
      </c>
      <c r="Q82" s="4">
        <f t="shared" si="78"/>
        <v>-210.28792988567</v>
      </c>
      <c r="R82" s="4">
        <f t="shared" si="79"/>
        <v>755.21181618901198</v>
      </c>
      <c r="S82" s="4">
        <f t="shared" si="80"/>
        <v>5408.9848443201481</v>
      </c>
      <c r="T82" s="4">
        <f t="shared" si="81"/>
        <v>-412.58403728053401</v>
      </c>
      <c r="U82" s="4">
        <f t="shared" si="82"/>
        <v>-6260.2335444697801</v>
      </c>
      <c r="V82" s="4">
        <f t="shared" si="83"/>
        <v>-13866.304565293198</v>
      </c>
      <c r="W82" s="4">
        <f t="shared" si="84"/>
        <v>-2.8311966199994232</v>
      </c>
      <c r="X82" s="4">
        <f t="shared" si="85"/>
        <v>10.160385535328208</v>
      </c>
      <c r="Y82" s="4">
        <f t="shared" si="86"/>
        <v>10.847643775462902</v>
      </c>
      <c r="Z82" s="4">
        <f t="shared" si="87"/>
        <v>-146.518168561327</v>
      </c>
      <c r="AA82" s="4">
        <f t="shared" si="88"/>
        <v>17.412368645446083</v>
      </c>
      <c r="AB82" s="4">
        <f t="shared" si="89"/>
        <v>-192.34573922823139</v>
      </c>
      <c r="AC82" s="4">
        <f t="shared" si="90"/>
        <v>1.8976802649666333</v>
      </c>
      <c r="AD82" s="4">
        <f t="shared" si="91"/>
        <v>348.81742400485956</v>
      </c>
      <c r="AE82" s="4">
        <f t="shared" si="92"/>
        <v>259.26149263277568</v>
      </c>
      <c r="AF82" s="4">
        <f t="shared" si="93"/>
        <v>476.526664676103</v>
      </c>
      <c r="AG82" s="4">
        <f t="shared" si="94"/>
        <v>-31.754271063606712</v>
      </c>
      <c r="AH82" s="4">
        <f t="shared" si="95"/>
        <v>276.04925811243919</v>
      </c>
      <c r="AI82" s="4">
        <f t="shared" si="96"/>
        <v>257.9512003030722</v>
      </c>
      <c r="AJ82" s="4">
        <f t="shared" si="97"/>
        <v>-61.173574193524807</v>
      </c>
      <c r="AK82" s="4">
        <f t="shared" si="98"/>
        <v>-1582.5052552791822</v>
      </c>
      <c r="AL82" s="4">
        <f t="shared" si="99"/>
        <v>-4552.813215501681</v>
      </c>
      <c r="AM82" s="4">
        <f t="shared" si="100"/>
        <v>-298.31813469855791</v>
      </c>
      <c r="AN82" s="4">
        <f t="shared" si="101"/>
        <v>981.66749104636278</v>
      </c>
      <c r="AO82" s="4">
        <f t="shared" si="102"/>
        <v>5558.7607735873517</v>
      </c>
      <c r="AP82" s="4">
        <f t="shared" si="103"/>
        <v>8530.4449732546509</v>
      </c>
      <c r="AQ82" s="4">
        <f t="shared" si="104"/>
        <v>2.4694791929634412E-2</v>
      </c>
      <c r="AR82" s="4">
        <f t="shared" si="105"/>
        <v>-0.44885870289245305</v>
      </c>
      <c r="AS82" s="4">
        <f t="shared" si="106"/>
        <v>2.559294764581789E-2</v>
      </c>
      <c r="AT82" s="4">
        <f t="shared" si="107"/>
        <v>3.1718073931778017</v>
      </c>
      <c r="AU82" s="4">
        <f t="shared" si="108"/>
        <v>1.3044534144796751</v>
      </c>
      <c r="AV82" s="4">
        <f t="shared" si="109"/>
        <v>-2.2879227035538928E-2</v>
      </c>
      <c r="AW82" s="4">
        <f t="shared" si="110"/>
        <v>-11.352336111702629</v>
      </c>
      <c r="AX82" s="4">
        <f t="shared" si="111"/>
        <v>-23.54062555091858</v>
      </c>
      <c r="AY82" s="4">
        <f t="shared" si="112"/>
        <v>21.976834161365371</v>
      </c>
      <c r="AZ82" s="4">
        <f t="shared" si="113"/>
        <v>64.567511828227524</v>
      </c>
      <c r="BA82" s="4">
        <f t="shared" si="114"/>
        <v>-0.27124688608339154</v>
      </c>
      <c r="BB82" s="4">
        <f t="shared" si="115"/>
        <v>-19.008386556738181</v>
      </c>
      <c r="BC82" s="4">
        <f t="shared" si="116"/>
        <v>-4.3203642832224567</v>
      </c>
      <c r="BD82" s="4">
        <f t="shared" si="117"/>
        <v>89.296598186058134</v>
      </c>
      <c r="BE82" s="4">
        <f t="shared" si="118"/>
        <v>102.72220574518862</v>
      </c>
      <c r="BF82" s="4">
        <f t="shared" si="119"/>
        <v>-29.5388182170921</v>
      </c>
      <c r="BG82" s="4">
        <f t="shared" si="120"/>
        <v>-40.671028940362461</v>
      </c>
      <c r="BH82" s="4">
        <f t="shared" si="121"/>
        <v>-280.02911424530686</v>
      </c>
      <c r="BI82" s="4">
        <f t="shared" si="122"/>
        <v>-14.70284947295953</v>
      </c>
      <c r="BJ82" s="4">
        <f t="shared" si="123"/>
        <v>-157.90643548368297</v>
      </c>
      <c r="BK82" s="4">
        <f t="shared" si="124"/>
        <v>0.18652861423813547</v>
      </c>
      <c r="BL82" s="4">
        <f t="shared" si="125"/>
        <v>15.912273672144654</v>
      </c>
      <c r="BM82" s="4">
        <f t="shared" si="126"/>
        <v>14.999866780775742</v>
      </c>
      <c r="BN82" s="4">
        <f t="shared" si="127"/>
        <v>-50.034434367930182</v>
      </c>
      <c r="BO82" s="4">
        <f t="shared" si="128"/>
        <v>-209.66931350541188</v>
      </c>
      <c r="BP82" s="4">
        <f t="shared" si="129"/>
        <v>-55.232537372248864</v>
      </c>
      <c r="BQ82" s="4">
        <f t="shared" si="130"/>
        <v>-88.026878890464772</v>
      </c>
      <c r="BR82" s="4">
        <f t="shared" si="131"/>
        <v>203.810671413667</v>
      </c>
      <c r="BS82" s="4">
        <f t="shared" si="132"/>
        <v>721.06941729547134</v>
      </c>
      <c r="BT82" s="4">
        <f t="shared" si="133"/>
        <v>1228.7612082454082</v>
      </c>
      <c r="BU82" s="4">
        <f t="shared" si="134"/>
        <v>45.994913329568021</v>
      </c>
      <c r="BV82" s="4">
        <f t="shared" si="135"/>
        <v>304.39333249003789</v>
      </c>
      <c r="BW82" s="4">
        <f t="shared" si="136"/>
        <v>-667.05479853651138</v>
      </c>
      <c r="BX82" s="4">
        <f t="shared" si="137"/>
        <v>-1577.6654137356404</v>
      </c>
      <c r="BY82" s="4">
        <f t="shared" si="138"/>
        <v>-1938.6695827927756</v>
      </c>
      <c r="BZ82" s="6">
        <f t="shared" si="139"/>
        <v>-1.5981261716010522</v>
      </c>
      <c r="CA82" s="7"/>
      <c r="CB82" s="6">
        <v>-1.598127589577871</v>
      </c>
      <c r="CC82" s="6"/>
    </row>
    <row r="83" spans="1:81" x14ac:dyDescent="0.3">
      <c r="A83" s="4">
        <v>81</v>
      </c>
      <c r="B83" s="4">
        <v>70065382</v>
      </c>
      <c r="C83" s="4">
        <v>2.7309999999999999</v>
      </c>
      <c r="D83" s="4">
        <v>5.4859999999999998</v>
      </c>
      <c r="E83" s="4">
        <v>0.68799999999999994</v>
      </c>
      <c r="F83" s="4">
        <v>4.0739999999999998</v>
      </c>
      <c r="H83" s="6">
        <v>-2618.81325553337</v>
      </c>
      <c r="I83" s="4">
        <f t="shared" si="70"/>
        <v>126.7533625351</v>
      </c>
      <c r="J83" s="4">
        <f t="shared" si="71"/>
        <v>-2699.8156398460001</v>
      </c>
      <c r="K83" s="4">
        <f t="shared" si="72"/>
        <v>1629.7527007999997</v>
      </c>
      <c r="L83" s="4">
        <f t="shared" si="73"/>
        <v>13165.155932879999</v>
      </c>
      <c r="M83" s="4">
        <f t="shared" si="74"/>
        <v>28.818068849316017</v>
      </c>
      <c r="N83" s="4">
        <f t="shared" si="75"/>
        <v>37.900837114869809</v>
      </c>
      <c r="O83" s="4">
        <f t="shared" si="76"/>
        <v>-129.32681716422397</v>
      </c>
      <c r="P83" s="4">
        <f t="shared" si="77"/>
        <v>-426.60202554702596</v>
      </c>
      <c r="Q83" s="4">
        <f t="shared" si="78"/>
        <v>-361.18316910766998</v>
      </c>
      <c r="R83" s="4">
        <f t="shared" si="79"/>
        <v>682.99674758764786</v>
      </c>
      <c r="S83" s="4">
        <f t="shared" si="80"/>
        <v>9456.3673706927893</v>
      </c>
      <c r="T83" s="4">
        <f t="shared" si="81"/>
        <v>-196.47123772774395</v>
      </c>
      <c r="U83" s="4">
        <f t="shared" si="82"/>
        <v>-5762.8299845827205</v>
      </c>
      <c r="V83" s="4">
        <f t="shared" si="83"/>
        <v>-24675.429395005198</v>
      </c>
      <c r="W83" s="4">
        <f t="shared" si="84"/>
        <v>-0.73708467344401962</v>
      </c>
      <c r="X83" s="4">
        <f t="shared" si="85"/>
        <v>5.4291478221883906</v>
      </c>
      <c r="Y83" s="4">
        <f t="shared" si="86"/>
        <v>3.0520637077898005</v>
      </c>
      <c r="Z83" s="4">
        <f t="shared" si="87"/>
        <v>-79.690834226632887</v>
      </c>
      <c r="AA83" s="4">
        <f t="shared" si="88"/>
        <v>19.096486125000435</v>
      </c>
      <c r="AB83" s="4">
        <f t="shared" si="89"/>
        <v>-111.07463108732077</v>
      </c>
      <c r="AC83" s="4">
        <f t="shared" si="90"/>
        <v>2.1184297278455801</v>
      </c>
      <c r="AD83" s="4">
        <f t="shared" si="91"/>
        <v>106.06379939289337</v>
      </c>
      <c r="AE83" s="4">
        <f t="shared" si="92"/>
        <v>152.39325270195147</v>
      </c>
      <c r="AF83" s="4">
        <f t="shared" si="93"/>
        <v>541.46905404929157</v>
      </c>
      <c r="AG83" s="4">
        <f t="shared" si="94"/>
        <v>-71.477916614485821</v>
      </c>
      <c r="AH83" s="4">
        <f t="shared" si="95"/>
        <v>327.18472713196286</v>
      </c>
      <c r="AI83" s="4">
        <f t="shared" si="96"/>
        <v>591.02071580215511</v>
      </c>
      <c r="AJ83" s="4">
        <f t="shared" si="97"/>
        <v>-38.177456845486887</v>
      </c>
      <c r="AK83" s="4">
        <f t="shared" si="98"/>
        <v>-1909.1805973264225</v>
      </c>
      <c r="AL83" s="4">
        <f t="shared" si="99"/>
        <v>-10617.943165912005</v>
      </c>
      <c r="AM83" s="4">
        <f t="shared" si="100"/>
        <v>-98.030111048974305</v>
      </c>
      <c r="AN83" s="4">
        <f t="shared" si="101"/>
        <v>623.59548325684364</v>
      </c>
      <c r="AO83" s="4">
        <f t="shared" si="102"/>
        <v>6826.1408933399862</v>
      </c>
      <c r="AP83" s="4">
        <f t="shared" si="103"/>
        <v>20250.122822605877</v>
      </c>
      <c r="AQ83" s="4">
        <f t="shared" si="104"/>
        <v>4.1052080402384098E-3</v>
      </c>
      <c r="AR83" s="4">
        <f t="shared" si="105"/>
        <v>-0.15314879322554537</v>
      </c>
      <c r="AS83" s="4">
        <f t="shared" si="106"/>
        <v>4.5979149944280128E-3</v>
      </c>
      <c r="AT83" s="4">
        <f t="shared" si="107"/>
        <v>1.1015549050599249</v>
      </c>
      <c r="AU83" s="4">
        <f t="shared" si="108"/>
        <v>0.91349596252034504</v>
      </c>
      <c r="AV83" s="4">
        <f t="shared" si="109"/>
        <v>-8.4363794840208103E-3</v>
      </c>
      <c r="AW83" s="4">
        <f t="shared" si="110"/>
        <v>-8.092052875371289</v>
      </c>
      <c r="AX83" s="4">
        <f t="shared" si="111"/>
        <v>-4.5705604670165787</v>
      </c>
      <c r="AY83" s="4">
        <f t="shared" si="112"/>
        <v>8.2485061512903766</v>
      </c>
      <c r="AZ83" s="4">
        <f t="shared" si="113"/>
        <v>46.847124024647911</v>
      </c>
      <c r="BA83" s="4">
        <f t="shared" si="114"/>
        <v>-0.38986742429766647</v>
      </c>
      <c r="BB83" s="4">
        <f t="shared" si="115"/>
        <v>-14.385804154048289</v>
      </c>
      <c r="BC83" s="4">
        <f t="shared" si="116"/>
        <v>-6.3207405995035444</v>
      </c>
      <c r="BD83" s="4">
        <f t="shared" si="117"/>
        <v>35.584470138524779</v>
      </c>
      <c r="BE83" s="4">
        <f t="shared" si="118"/>
        <v>79.131361378801273</v>
      </c>
      <c r="BF83" s="4">
        <f t="shared" si="119"/>
        <v>-43.988193741928313</v>
      </c>
      <c r="BG83" s="4">
        <f t="shared" si="120"/>
        <v>-8.5338980340989803</v>
      </c>
      <c r="BH83" s="4">
        <f t="shared" si="121"/>
        <v>-113.58583849825126</v>
      </c>
      <c r="BI83" s="4">
        <f t="shared" si="122"/>
        <v>-11.528723534223765</v>
      </c>
      <c r="BJ83" s="4">
        <f t="shared" si="123"/>
        <v>-239.35265861131734</v>
      </c>
      <c r="BK83" s="4">
        <f t="shared" si="124"/>
        <v>0.55026486158667842</v>
      </c>
      <c r="BL83" s="4">
        <f t="shared" si="125"/>
        <v>24.71697152486167</v>
      </c>
      <c r="BM83" s="4">
        <f t="shared" si="126"/>
        <v>45.041114863366673</v>
      </c>
      <c r="BN83" s="4">
        <f t="shared" si="127"/>
        <v>-40.923117715078888</v>
      </c>
      <c r="BO83" s="4">
        <f t="shared" si="128"/>
        <v>-331.50745827757174</v>
      </c>
      <c r="BP83" s="4">
        <f t="shared" si="129"/>
        <v>-168.81542929783851</v>
      </c>
      <c r="BQ83" s="4">
        <f t="shared" si="130"/>
        <v>-37.909820028589237</v>
      </c>
      <c r="BR83" s="4">
        <f t="shared" si="131"/>
        <v>169.67663812798807</v>
      </c>
      <c r="BS83" s="4">
        <f t="shared" si="132"/>
        <v>1160.4619879862487</v>
      </c>
      <c r="BT83" s="4">
        <f t="shared" si="133"/>
        <v>3822.7865330963687</v>
      </c>
      <c r="BU83" s="4">
        <f t="shared" si="134"/>
        <v>10.429966764399445</v>
      </c>
      <c r="BV83" s="4">
        <f t="shared" si="135"/>
        <v>133.4341418833541</v>
      </c>
      <c r="BW83" s="4">
        <f t="shared" si="136"/>
        <v>-565.26494883795942</v>
      </c>
      <c r="BX83" s="4">
        <f t="shared" si="137"/>
        <v>-2584.4263516657884</v>
      </c>
      <c r="BY83" s="4">
        <f t="shared" si="138"/>
        <v>-6139.199749985487</v>
      </c>
      <c r="BZ83" s="6">
        <f t="shared" si="139"/>
        <v>-1.3753902542421201</v>
      </c>
      <c r="CA83" s="7"/>
      <c r="CB83" s="6">
        <v>-1.375394338440856</v>
      </c>
      <c r="CC83" s="6"/>
    </row>
    <row r="84" spans="1:81" x14ac:dyDescent="0.3">
      <c r="A84" s="4">
        <v>82</v>
      </c>
      <c r="B84" s="4">
        <v>9974713</v>
      </c>
      <c r="C84" s="4">
        <v>4.4400000000000004</v>
      </c>
      <c r="D84" s="4">
        <v>3.47</v>
      </c>
      <c r="E84" s="4">
        <v>0.45200000000000001</v>
      </c>
      <c r="F84" s="4">
        <v>3.4630000000000001</v>
      </c>
      <c r="H84" s="6">
        <v>-2618.81325553337</v>
      </c>
      <c r="I84" s="4">
        <f t="shared" si="70"/>
        <v>206.07284132400002</v>
      </c>
      <c r="J84" s="4">
        <f t="shared" si="71"/>
        <v>-1707.6850656700001</v>
      </c>
      <c r="K84" s="4">
        <f t="shared" si="72"/>
        <v>1070.7096231999999</v>
      </c>
      <c r="L84" s="4">
        <f t="shared" si="73"/>
        <v>11190.705693559999</v>
      </c>
      <c r="M84" s="4">
        <f t="shared" si="74"/>
        <v>76.170606661152021</v>
      </c>
      <c r="N84" s="4">
        <f t="shared" si="75"/>
        <v>38.974786408236</v>
      </c>
      <c r="O84" s="4">
        <f t="shared" si="76"/>
        <v>-138.13376714304002</v>
      </c>
      <c r="P84" s="4">
        <f t="shared" si="77"/>
        <v>-589.54322120988002</v>
      </c>
      <c r="Q84" s="4">
        <f t="shared" si="78"/>
        <v>-144.50232916175</v>
      </c>
      <c r="R84" s="4">
        <f t="shared" si="79"/>
        <v>283.81954774584</v>
      </c>
      <c r="S84" s="4">
        <f t="shared" si="80"/>
        <v>5084.2801675358714</v>
      </c>
      <c r="T84" s="4">
        <f t="shared" si="81"/>
        <v>-84.800609604704007</v>
      </c>
      <c r="U84" s="4">
        <f t="shared" si="82"/>
        <v>-3218.2314203755604</v>
      </c>
      <c r="V84" s="4">
        <f t="shared" si="83"/>
        <v>-17829.0274098513</v>
      </c>
      <c r="W84" s="4">
        <f t="shared" si="84"/>
        <v>-3.1673874435984009</v>
      </c>
      <c r="X84" s="4">
        <f t="shared" si="85"/>
        <v>9.0766978372378109</v>
      </c>
      <c r="Y84" s="4">
        <f t="shared" si="86"/>
        <v>5.2998811571125444</v>
      </c>
      <c r="Z84" s="4">
        <f t="shared" si="87"/>
        <v>-179.04507526689224</v>
      </c>
      <c r="AA84" s="4">
        <f t="shared" si="88"/>
        <v>12.421157671829796</v>
      </c>
      <c r="AB84" s="4">
        <f t="shared" si="89"/>
        <v>-75.041208162712806</v>
      </c>
      <c r="AC84" s="4">
        <f t="shared" si="90"/>
        <v>1.8517419725369975</v>
      </c>
      <c r="AD84" s="4">
        <f t="shared" si="91"/>
        <v>74.426645180414596</v>
      </c>
      <c r="AE84" s="4">
        <f t="shared" si="92"/>
        <v>138.35933698895761</v>
      </c>
      <c r="AF84" s="4">
        <f t="shared" si="93"/>
        <v>636.05964820087729</v>
      </c>
      <c r="AG84" s="4">
        <f t="shared" si="94"/>
        <v>-18.088097907155632</v>
      </c>
      <c r="AH84" s="4">
        <f t="shared" si="95"/>
        <v>85.998398239263437</v>
      </c>
      <c r="AI84" s="4">
        <f t="shared" si="96"/>
        <v>200.99326889482236</v>
      </c>
      <c r="AJ84" s="4">
        <f t="shared" si="97"/>
        <v>-10.422710129596545</v>
      </c>
      <c r="AK84" s="4">
        <f t="shared" si="98"/>
        <v>-674.37606369329262</v>
      </c>
      <c r="AL84" s="4">
        <f t="shared" si="99"/>
        <v>-4852.6280210413188</v>
      </c>
      <c r="AM84" s="4">
        <f t="shared" si="100"/>
        <v>-27.797739731688704</v>
      </c>
      <c r="AN84" s="4">
        <f t="shared" si="101"/>
        <v>228.7886211556102</v>
      </c>
      <c r="AO84" s="4">
        <f t="shared" si="102"/>
        <v>3240.3220664529058</v>
      </c>
      <c r="AP84" s="4">
        <f t="shared" si="103"/>
        <v>12437.184081690735</v>
      </c>
      <c r="AQ84" s="4">
        <f t="shared" si="104"/>
        <v>2.8680072887906111E-2</v>
      </c>
      <c r="AR84" s="4">
        <f t="shared" si="105"/>
        <v>-0.41626611566572153</v>
      </c>
      <c r="AS84" s="4">
        <f t="shared" si="106"/>
        <v>1.2980599315239311E-2</v>
      </c>
      <c r="AT84" s="4">
        <f t="shared" si="107"/>
        <v>4.0236613882628331</v>
      </c>
      <c r="AU84" s="4">
        <f t="shared" si="108"/>
        <v>0.965998640448682</v>
      </c>
      <c r="AV84" s="4">
        <f t="shared" si="109"/>
        <v>-9.2662137666653394E-3</v>
      </c>
      <c r="AW84" s="4">
        <f t="shared" si="110"/>
        <v>-11.499696808294589</v>
      </c>
      <c r="AX84" s="4">
        <f t="shared" si="111"/>
        <v>-5.2142517070399377</v>
      </c>
      <c r="AY84" s="4">
        <f t="shared" si="112"/>
        <v>12.175289766392371</v>
      </c>
      <c r="AZ84" s="4">
        <f t="shared" si="113"/>
        <v>89.468139893000156</v>
      </c>
      <c r="BA84" s="4">
        <f t="shared" si="114"/>
        <v>-0.16039810512317884</v>
      </c>
      <c r="BB84" s="4">
        <f t="shared" si="115"/>
        <v>-6.1474181240438437</v>
      </c>
      <c r="BC84" s="4">
        <f t="shared" si="116"/>
        <v>-3.4946850920690555</v>
      </c>
      <c r="BD84" s="4">
        <f t="shared" si="117"/>
        <v>15.794120172825588</v>
      </c>
      <c r="BE84" s="4">
        <f t="shared" si="118"/>
        <v>45.442795750322624</v>
      </c>
      <c r="BF84" s="4">
        <f t="shared" si="119"/>
        <v>-32.683909889376686</v>
      </c>
      <c r="BG84" s="4">
        <f t="shared" si="120"/>
        <v>-3.9342206098823262</v>
      </c>
      <c r="BH84" s="4">
        <f t="shared" si="121"/>
        <v>-67.751188549723267</v>
      </c>
      <c r="BI84" s="4">
        <f t="shared" si="122"/>
        <v>-8.8972424443517539</v>
      </c>
      <c r="BJ84" s="4">
        <f t="shared" si="123"/>
        <v>-238.9978127477855</v>
      </c>
      <c r="BK84" s="4">
        <f t="shared" si="124"/>
        <v>8.807780174359818E-2</v>
      </c>
      <c r="BL84" s="4">
        <f t="shared" si="125"/>
        <v>4.1092850523752178</v>
      </c>
      <c r="BM84" s="4">
        <f t="shared" si="126"/>
        <v>9.688613095018356</v>
      </c>
      <c r="BN84" s="4">
        <f t="shared" si="127"/>
        <v>-7.0666901446547286</v>
      </c>
      <c r="BO84" s="4">
        <f t="shared" si="128"/>
        <v>-74.066549034936031</v>
      </c>
      <c r="BP84" s="4">
        <f t="shared" si="129"/>
        <v>-48.800291289847472</v>
      </c>
      <c r="BQ84" s="4">
        <f t="shared" si="130"/>
        <v>-6.7994750408265787</v>
      </c>
      <c r="BR84" s="4">
        <f t="shared" si="131"/>
        <v>39.375599794428354</v>
      </c>
      <c r="BS84" s="4">
        <f t="shared" si="132"/>
        <v>348.4315887397276</v>
      </c>
      <c r="BT84" s="4">
        <f t="shared" si="133"/>
        <v>1485.0740850142749</v>
      </c>
      <c r="BU84" s="4">
        <f t="shared" si="134"/>
        <v>1.9430452329233066</v>
      </c>
      <c r="BV84" s="4">
        <f t="shared" si="135"/>
        <v>32.162398128562366</v>
      </c>
      <c r="BW84" s="4">
        <f t="shared" si="136"/>
        <v>-176.28484711123588</v>
      </c>
      <c r="BX84" s="4">
        <f t="shared" si="137"/>
        <v>-1042.8180935224682</v>
      </c>
      <c r="BY84" s="4">
        <f t="shared" si="138"/>
        <v>-3205.0708308862727</v>
      </c>
      <c r="BZ84" s="6">
        <f t="shared" si="139"/>
        <v>-1.1173443433176544</v>
      </c>
      <c r="CA84" s="7"/>
      <c r="CB84" s="6">
        <v>-1.117342268524226</v>
      </c>
      <c r="CC84" s="6"/>
    </row>
    <row r="85" spans="1:81" x14ac:dyDescent="0.3">
      <c r="A85" s="4">
        <v>83</v>
      </c>
      <c r="B85" s="4">
        <v>46193853</v>
      </c>
      <c r="C85" s="4">
        <v>5.3609999999999998</v>
      </c>
      <c r="D85" s="4">
        <v>7.3620000000000001</v>
      </c>
      <c r="E85" s="4">
        <v>0.68300000000000005</v>
      </c>
      <c r="F85" s="4">
        <v>3.5939999999999999</v>
      </c>
      <c r="H85" s="6">
        <v>-2618.81325553337</v>
      </c>
      <c r="I85" s="4">
        <f t="shared" si="70"/>
        <v>248.81903205809999</v>
      </c>
      <c r="J85" s="4">
        <f t="shared" si="71"/>
        <v>-3623.0482574820003</v>
      </c>
      <c r="K85" s="4">
        <f t="shared" si="72"/>
        <v>1617.9085678000001</v>
      </c>
      <c r="L85" s="4">
        <f t="shared" si="73"/>
        <v>11614.03299528</v>
      </c>
      <c r="M85" s="4">
        <f t="shared" si="74"/>
        <v>111.04860026612322</v>
      </c>
      <c r="N85" s="4">
        <f t="shared" si="75"/>
        <v>99.841918891540132</v>
      </c>
      <c r="O85" s="4">
        <f t="shared" si="76"/>
        <v>-252.02577673880401</v>
      </c>
      <c r="P85" s="4">
        <f t="shared" si="77"/>
        <v>-738.76118352888591</v>
      </c>
      <c r="Q85" s="4">
        <f t="shared" si="78"/>
        <v>-650.44042358463003</v>
      </c>
      <c r="R85" s="4">
        <f t="shared" si="79"/>
        <v>909.89422972815601</v>
      </c>
      <c r="S85" s="4">
        <f t="shared" si="80"/>
        <v>11194.930293375277</v>
      </c>
      <c r="T85" s="4">
        <f t="shared" si="81"/>
        <v>-193.62592790101402</v>
      </c>
      <c r="U85" s="4">
        <f t="shared" si="82"/>
        <v>-5046.9048934876209</v>
      </c>
      <c r="V85" s="4">
        <f t="shared" si="83"/>
        <v>-19203.430372477196</v>
      </c>
      <c r="W85" s="4">
        <f t="shared" si="84"/>
        <v>-5.575575512779225</v>
      </c>
      <c r="X85" s="4">
        <f t="shared" si="85"/>
        <v>28.075008122961535</v>
      </c>
      <c r="Y85" s="4">
        <f t="shared" si="86"/>
        <v>11.675461990133742</v>
      </c>
      <c r="Z85" s="4">
        <f t="shared" si="87"/>
        <v>-270.90288833120132</v>
      </c>
      <c r="AA85" s="4">
        <f t="shared" si="88"/>
        <v>67.508364778906127</v>
      </c>
      <c r="AB85" s="4">
        <f t="shared" si="89"/>
        <v>-290.47667310790609</v>
      </c>
      <c r="AC85" s="4">
        <f t="shared" si="90"/>
        <v>4.9230611164595457</v>
      </c>
      <c r="AD85" s="4">
        <f t="shared" si="91"/>
        <v>205.18982365617984</v>
      </c>
      <c r="AE85" s="4">
        <f t="shared" si="92"/>
        <v>261.98664867613343</v>
      </c>
      <c r="AF85" s="4">
        <f t="shared" si="93"/>
        <v>827.20251134254488</v>
      </c>
      <c r="AG85" s="4">
        <f t="shared" si="94"/>
        <v>-172.73960216759264</v>
      </c>
      <c r="AH85" s="4">
        <f t="shared" si="95"/>
        <v>584.93190145686049</v>
      </c>
      <c r="AI85" s="4">
        <f t="shared" si="96"/>
        <v>938.94417354776135</v>
      </c>
      <c r="AJ85" s="4">
        <f t="shared" si="97"/>
        <v>-50.490716727044322</v>
      </c>
      <c r="AK85" s="4">
        <f t="shared" si="98"/>
        <v>-2243.7596588140336</v>
      </c>
      <c r="AL85" s="4">
        <f t="shared" si="99"/>
        <v>-11089.054104626417</v>
      </c>
      <c r="AM85" s="4">
        <f t="shared" si="100"/>
        <v>-95.908321613806578</v>
      </c>
      <c r="AN85" s="4">
        <f t="shared" si="101"/>
        <v>542.15633888600155</v>
      </c>
      <c r="AO85" s="4">
        <f t="shared" si="102"/>
        <v>5273.7751519163321</v>
      </c>
      <c r="AP85" s="4">
        <f t="shared" si="103"/>
        <v>13902.68894235796</v>
      </c>
      <c r="AQ85" s="4">
        <f t="shared" si="104"/>
        <v>6.0958124861090909E-2</v>
      </c>
      <c r="AR85" s="4">
        <f t="shared" si="105"/>
        <v>-1.5546259406839731</v>
      </c>
      <c r="AS85" s="4">
        <f t="shared" si="106"/>
        <v>3.4527531053663268E-2</v>
      </c>
      <c r="AT85" s="4">
        <f t="shared" si="107"/>
        <v>7.3508154257914855</v>
      </c>
      <c r="AU85" s="4">
        <f t="shared" si="108"/>
        <v>6.3392060165561643</v>
      </c>
      <c r="AV85" s="4">
        <f t="shared" si="109"/>
        <v>-4.3308844463291703E-2</v>
      </c>
      <c r="AW85" s="4">
        <f t="shared" si="110"/>
        <v>-36.915094456601601</v>
      </c>
      <c r="AX85" s="4">
        <f t="shared" si="111"/>
        <v>-17.357301365528716</v>
      </c>
      <c r="AY85" s="4">
        <f t="shared" si="112"/>
        <v>27.836384732348019</v>
      </c>
      <c r="AZ85" s="4">
        <f t="shared" si="113"/>
        <v>140.48994575362914</v>
      </c>
      <c r="BA85" s="4">
        <f t="shared" si="114"/>
        <v>-1.8495287452246238</v>
      </c>
      <c r="BB85" s="4">
        <f t="shared" si="115"/>
        <v>-50.485950344719789</v>
      </c>
      <c r="BC85" s="4">
        <f t="shared" si="116"/>
        <v>-19.711929730814916</v>
      </c>
      <c r="BD85" s="4">
        <f t="shared" si="117"/>
        <v>92.382381003691918</v>
      </c>
      <c r="BE85" s="4">
        <f t="shared" si="118"/>
        <v>182.55850386867976</v>
      </c>
      <c r="BF85" s="4">
        <f t="shared" si="119"/>
        <v>-90.180853718410916</v>
      </c>
      <c r="BG85" s="4">
        <f t="shared" si="120"/>
        <v>-16.389599941524779</v>
      </c>
      <c r="BH85" s="4">
        <f t="shared" si="121"/>
        <v>-193.85181628178171</v>
      </c>
      <c r="BI85" s="4">
        <f t="shared" si="122"/>
        <v>-17.484438644725678</v>
      </c>
      <c r="BJ85" s="4">
        <f t="shared" si="123"/>
        <v>-322.57708064556687</v>
      </c>
      <c r="BK85" s="4">
        <f t="shared" si="124"/>
        <v>1.7845627363909926</v>
      </c>
      <c r="BL85" s="4">
        <f t="shared" si="125"/>
        <v>59.299024932911095</v>
      </c>
      <c r="BM85" s="4">
        <f t="shared" si="126"/>
        <v>96.025418661575415</v>
      </c>
      <c r="BN85" s="4">
        <f t="shared" si="127"/>
        <v>-72.629534967308871</v>
      </c>
      <c r="BO85" s="4">
        <f t="shared" si="128"/>
        <v>-522.83257316669642</v>
      </c>
      <c r="BP85" s="4">
        <f t="shared" si="129"/>
        <v>-236.59537646228526</v>
      </c>
      <c r="BQ85" s="4">
        <f t="shared" si="130"/>
        <v>-49.77239382867517</v>
      </c>
      <c r="BR85" s="4">
        <f t="shared" si="131"/>
        <v>197.96282357047875</v>
      </c>
      <c r="BS85" s="4">
        <f t="shared" si="132"/>
        <v>1203.1431168351983</v>
      </c>
      <c r="BT85" s="4">
        <f t="shared" si="133"/>
        <v>3522.0150025405578</v>
      </c>
      <c r="BU85" s="4">
        <f t="shared" si="134"/>
        <v>10.130059268351058</v>
      </c>
      <c r="BV85" s="4">
        <f t="shared" si="135"/>
        <v>115.16507943010568</v>
      </c>
      <c r="BW85" s="4">
        <f t="shared" si="136"/>
        <v>-433.54150761556934</v>
      </c>
      <c r="BX85" s="4">
        <f t="shared" si="137"/>
        <v>-1761.438848110776</v>
      </c>
      <c r="BY85" s="4">
        <f t="shared" si="138"/>
        <v>-3718.2617293225676</v>
      </c>
      <c r="BZ85" s="6">
        <f t="shared" si="139"/>
        <v>-1.3202880886192361</v>
      </c>
      <c r="CA85" s="7"/>
      <c r="CB85" s="6">
        <v>-1.3202940798109919</v>
      </c>
      <c r="CC85" s="6"/>
    </row>
    <row r="86" spans="1:81" x14ac:dyDescent="0.3">
      <c r="A86" s="4">
        <v>84</v>
      </c>
      <c r="B86" s="4">
        <v>71720067</v>
      </c>
      <c r="C86" s="4">
        <v>5.8449999999999998</v>
      </c>
      <c r="D86" s="4">
        <v>5.4859999999999998</v>
      </c>
      <c r="E86" s="4">
        <v>0.88900000000000001</v>
      </c>
      <c r="F86" s="4">
        <v>3.411</v>
      </c>
      <c r="H86" s="6">
        <v>-2618.81325553337</v>
      </c>
      <c r="I86" s="4">
        <f t="shared" si="70"/>
        <v>271.28282827449999</v>
      </c>
      <c r="J86" s="4">
        <f t="shared" si="71"/>
        <v>-2699.8156398460001</v>
      </c>
      <c r="K86" s="4">
        <f t="shared" si="72"/>
        <v>2105.8868474000001</v>
      </c>
      <c r="L86" s="4">
        <f t="shared" si="73"/>
        <v>11022.667375319999</v>
      </c>
      <c r="M86" s="4">
        <f t="shared" si="74"/>
        <v>132.00503765100049</v>
      </c>
      <c r="N86" s="4">
        <f t="shared" si="75"/>
        <v>81.116950910440892</v>
      </c>
      <c r="O86" s="4">
        <f t="shared" si="76"/>
        <v>-357.65535134013999</v>
      </c>
      <c r="P86" s="4">
        <f t="shared" si="77"/>
        <v>-764.44531485430491</v>
      </c>
      <c r="Q86" s="4">
        <f t="shared" si="78"/>
        <v>-361.18316910766998</v>
      </c>
      <c r="R86" s="4">
        <f t="shared" si="79"/>
        <v>882.53504157764394</v>
      </c>
      <c r="S86" s="4">
        <f t="shared" si="80"/>
        <v>7917.4445511617823</v>
      </c>
      <c r="T86" s="4">
        <f t="shared" si="81"/>
        <v>-328.03911124304602</v>
      </c>
      <c r="U86" s="4">
        <f t="shared" si="82"/>
        <v>-6234.6176497224906</v>
      </c>
      <c r="V86" s="4">
        <f t="shared" si="83"/>
        <v>-17297.610290381701</v>
      </c>
      <c r="W86" s="4">
        <f t="shared" si="84"/>
        <v>-7.2261309400672209</v>
      </c>
      <c r="X86" s="4">
        <f t="shared" si="85"/>
        <v>24.868941303047642</v>
      </c>
      <c r="Y86" s="4">
        <f t="shared" si="86"/>
        <v>18.06477464346127</v>
      </c>
      <c r="Z86" s="4">
        <f t="shared" si="87"/>
        <v>-305.62909724247982</v>
      </c>
      <c r="AA86" s="4">
        <f t="shared" si="88"/>
        <v>40.871095349918541</v>
      </c>
      <c r="AB86" s="4">
        <f t="shared" si="89"/>
        <v>-307.17864305023483</v>
      </c>
      <c r="AC86" s="4">
        <f t="shared" si="90"/>
        <v>3.7960993697183443</v>
      </c>
      <c r="AD86" s="4">
        <f t="shared" si="91"/>
        <v>379.01521208823721</v>
      </c>
      <c r="AE86" s="4">
        <f t="shared" si="92"/>
        <v>352.86011524698768</v>
      </c>
      <c r="AF86" s="4">
        <f t="shared" si="93"/>
        <v>812.3774239028628</v>
      </c>
      <c r="AG86" s="4">
        <f t="shared" si="94"/>
        <v>-71.477916614485821</v>
      </c>
      <c r="AH86" s="4">
        <f t="shared" si="95"/>
        <v>422.77212561092296</v>
      </c>
      <c r="AI86" s="4">
        <f t="shared" si="96"/>
        <v>494.83840490946267</v>
      </c>
      <c r="AJ86" s="4">
        <f t="shared" si="97"/>
        <v>-63.743167488300372</v>
      </c>
      <c r="AK86" s="4">
        <f t="shared" si="98"/>
        <v>-2065.4801686746141</v>
      </c>
      <c r="AL86" s="4">
        <f t="shared" si="99"/>
        <v>-7443.2359424936703</v>
      </c>
      <c r="AM86" s="4">
        <f t="shared" si="100"/>
        <v>-211.49468746894038</v>
      </c>
      <c r="AN86" s="4">
        <f t="shared" si="101"/>
        <v>871.74667809943105</v>
      </c>
      <c r="AO86" s="4">
        <f t="shared" si="102"/>
        <v>6183.1525317178866</v>
      </c>
      <c r="AP86" s="4">
        <f t="shared" si="103"/>
        <v>11885.288986474818</v>
      </c>
      <c r="AQ86" s="4">
        <f t="shared" si="104"/>
        <v>8.6136343558745596E-2</v>
      </c>
      <c r="AR86" s="4">
        <f t="shared" si="105"/>
        <v>-1.5014194067964439</v>
      </c>
      <c r="AS86" s="4">
        <f t="shared" si="106"/>
        <v>5.8245544109047559E-2</v>
      </c>
      <c r="AT86" s="4">
        <f t="shared" si="107"/>
        <v>9.0418081831865269</v>
      </c>
      <c r="AU86" s="4">
        <f t="shared" si="108"/>
        <v>4.1843910345643138</v>
      </c>
      <c r="AV86" s="4">
        <f t="shared" si="109"/>
        <v>-4.9933850920798696E-2</v>
      </c>
      <c r="AW86" s="4">
        <f t="shared" si="110"/>
        <v>-31.034520332723549</v>
      </c>
      <c r="AX86" s="4">
        <f t="shared" si="111"/>
        <v>-34.95600035417992</v>
      </c>
      <c r="AY86" s="4">
        <f t="shared" si="112"/>
        <v>40.876617465564586</v>
      </c>
      <c r="AZ86" s="4">
        <f t="shared" si="113"/>
        <v>150.42844100250156</v>
      </c>
      <c r="BA86" s="4">
        <f t="shared" si="114"/>
        <v>-0.83441050714751397</v>
      </c>
      <c r="BB86" s="4">
        <f t="shared" si="115"/>
        <v>-39.784168139644791</v>
      </c>
      <c r="BC86" s="4">
        <f t="shared" si="116"/>
        <v>-11.326389112906922</v>
      </c>
      <c r="BD86" s="4">
        <f t="shared" si="117"/>
        <v>127.15983751100842</v>
      </c>
      <c r="BE86" s="4">
        <f t="shared" si="118"/>
        <v>183.22531214938289</v>
      </c>
      <c r="BF86" s="4">
        <f t="shared" si="119"/>
        <v>-65.996413362811836</v>
      </c>
      <c r="BG86" s="4">
        <f t="shared" si="120"/>
        <v>-39.404900300250588</v>
      </c>
      <c r="BH86" s="4">
        <f t="shared" si="121"/>
        <v>-339.83988174291454</v>
      </c>
      <c r="BI86" s="4">
        <f t="shared" si="122"/>
        <v>-22.350063030433063</v>
      </c>
      <c r="BJ86" s="4">
        <f t="shared" si="123"/>
        <v>-300.66519380673645</v>
      </c>
      <c r="BK86" s="4">
        <f t="shared" si="124"/>
        <v>0.55026486158667842</v>
      </c>
      <c r="BL86" s="4">
        <f t="shared" si="125"/>
        <v>31.938063496514577</v>
      </c>
      <c r="BM86" s="4">
        <f t="shared" si="126"/>
        <v>37.711154344365177</v>
      </c>
      <c r="BN86" s="4">
        <f t="shared" si="127"/>
        <v>-68.327472864764033</v>
      </c>
      <c r="BO86" s="4">
        <f t="shared" si="128"/>
        <v>-358.64709802672536</v>
      </c>
      <c r="BP86" s="4">
        <f t="shared" si="129"/>
        <v>-118.34053463679878</v>
      </c>
      <c r="BQ86" s="4">
        <f t="shared" si="130"/>
        <v>-81.788395964835004</v>
      </c>
      <c r="BR86" s="4">
        <f t="shared" si="131"/>
        <v>237.1971087196446</v>
      </c>
      <c r="BS86" s="4">
        <f t="shared" si="132"/>
        <v>1051.152267598261</v>
      </c>
      <c r="BT86" s="4">
        <f t="shared" si="133"/>
        <v>2243.686276743666</v>
      </c>
      <c r="BU86" s="4">
        <f t="shared" si="134"/>
        <v>29.076104126243951</v>
      </c>
      <c r="BV86" s="4">
        <f t="shared" si="135"/>
        <v>241.02807374289199</v>
      </c>
      <c r="BW86" s="4">
        <f t="shared" si="136"/>
        <v>-661.60699972674524</v>
      </c>
      <c r="BX86" s="4">
        <f t="shared" si="137"/>
        <v>-1960.0157786875552</v>
      </c>
      <c r="BY86" s="4">
        <f t="shared" si="138"/>
        <v>-3016.8557369562968</v>
      </c>
      <c r="BZ86" s="6">
        <f t="shared" si="139"/>
        <v>-0.97972293352722772</v>
      </c>
      <c r="CA86" s="7"/>
      <c r="CB86" s="6">
        <v>-0.97972673963386114</v>
      </c>
      <c r="CC86" s="6"/>
    </row>
    <row r="87" spans="1:81" x14ac:dyDescent="0.3">
      <c r="A87" s="4">
        <v>85</v>
      </c>
      <c r="B87" s="4">
        <v>164619262</v>
      </c>
      <c r="C87" s="4">
        <v>2.774</v>
      </c>
      <c r="D87" s="4">
        <v>4.7789999999999999</v>
      </c>
      <c r="E87" s="4">
        <v>0.45</v>
      </c>
      <c r="F87" s="4">
        <v>3.6909999999999998</v>
      </c>
      <c r="H87" s="6">
        <v>-2618.81325553337</v>
      </c>
      <c r="I87" s="4">
        <f t="shared" si="70"/>
        <v>128.74911302539999</v>
      </c>
      <c r="J87" s="4">
        <f t="shared" si="71"/>
        <v>-2351.8809593189999</v>
      </c>
      <c r="K87" s="4">
        <f t="shared" si="72"/>
        <v>1065.9719700000001</v>
      </c>
      <c r="L87" s="4">
        <f t="shared" si="73"/>
        <v>11927.48908892</v>
      </c>
      <c r="M87" s="4">
        <f t="shared" si="74"/>
        <v>29.732702663322321</v>
      </c>
      <c r="N87" s="4">
        <f t="shared" si="75"/>
        <v>33.536272215873417</v>
      </c>
      <c r="O87" s="4">
        <f t="shared" si="76"/>
        <v>-85.920623816399996</v>
      </c>
      <c r="P87" s="4">
        <f t="shared" si="77"/>
        <v>-392.58227762948593</v>
      </c>
      <c r="Q87" s="4">
        <f t="shared" si="78"/>
        <v>-274.08796019025749</v>
      </c>
      <c r="R87" s="4">
        <f t="shared" si="79"/>
        <v>389.15618602229995</v>
      </c>
      <c r="S87" s="4">
        <f t="shared" si="80"/>
        <v>7463.2602066750624</v>
      </c>
      <c r="T87" s="4">
        <f t="shared" si="81"/>
        <v>-84.051822014999999</v>
      </c>
      <c r="U87" s="4">
        <f t="shared" si="82"/>
        <v>-3414.9386291445003</v>
      </c>
      <c r="V87" s="4">
        <f t="shared" si="83"/>
        <v>-20253.997868693696</v>
      </c>
      <c r="W87" s="4">
        <f t="shared" si="84"/>
        <v>-0.7724522643445676</v>
      </c>
      <c r="X87" s="4">
        <f t="shared" si="85"/>
        <v>4.8795796003696355</v>
      </c>
      <c r="Y87" s="4">
        <f t="shared" si="86"/>
        <v>2.0596203937651589</v>
      </c>
      <c r="Z87" s="4">
        <f t="shared" si="87"/>
        <v>-74.490503003618898</v>
      </c>
      <c r="AA87" s="4">
        <f t="shared" si="88"/>
        <v>14.719758091683389</v>
      </c>
      <c r="AB87" s="4">
        <f t="shared" si="89"/>
        <v>-64.284302916487349</v>
      </c>
      <c r="AC87" s="4">
        <f t="shared" si="90"/>
        <v>1.698255644071039</v>
      </c>
      <c r="AD87" s="4">
        <f t="shared" si="91"/>
        <v>46.089297430137002</v>
      </c>
      <c r="AE87" s="4">
        <f t="shared" si="92"/>
        <v>91.727084831787991</v>
      </c>
      <c r="AF87" s="4">
        <f t="shared" si="93"/>
        <v>451.44457512587633</v>
      </c>
      <c r="AG87" s="4">
        <f t="shared" si="94"/>
        <v>-47.251496466953796</v>
      </c>
      <c r="AH87" s="4">
        <f t="shared" si="95"/>
        <v>162.39757984136</v>
      </c>
      <c r="AI87" s="4">
        <f t="shared" si="96"/>
        <v>406.33869229656875</v>
      </c>
      <c r="AJ87" s="4">
        <f t="shared" si="97"/>
        <v>-14.227754841378001</v>
      </c>
      <c r="AK87" s="4">
        <f t="shared" si="98"/>
        <v>-985.54245026016054</v>
      </c>
      <c r="AL87" s="4">
        <f t="shared" si="99"/>
        <v>-7592.2004298480351</v>
      </c>
      <c r="AM87" s="4">
        <f t="shared" si="100"/>
        <v>-27.430373506500001</v>
      </c>
      <c r="AN87" s="4">
        <f t="shared" si="101"/>
        <v>241.69859870960246</v>
      </c>
      <c r="AO87" s="4">
        <f t="shared" si="102"/>
        <v>3664.7585318761253</v>
      </c>
      <c r="AP87" s="4">
        <f t="shared" si="103"/>
        <v>15059.020457260074</v>
      </c>
      <c r="AQ87" s="4">
        <f t="shared" si="104"/>
        <v>4.3699271519819401E-3</v>
      </c>
      <c r="AR87" s="4">
        <f t="shared" si="105"/>
        <v>-0.13981348981891359</v>
      </c>
      <c r="AS87" s="4">
        <f t="shared" si="106"/>
        <v>3.1516594438485367E-3</v>
      </c>
      <c r="AT87" s="4">
        <f t="shared" si="107"/>
        <v>1.0458838068800691</v>
      </c>
      <c r="AU87" s="4">
        <f t="shared" si="108"/>
        <v>0.71521827010369532</v>
      </c>
      <c r="AV87" s="4">
        <f t="shared" si="109"/>
        <v>-4.9594203857643493E-3</v>
      </c>
      <c r="AW87" s="4">
        <f t="shared" si="110"/>
        <v>-6.5891967093324961</v>
      </c>
      <c r="AX87" s="4">
        <f t="shared" si="111"/>
        <v>-2.0173772694709871</v>
      </c>
      <c r="AY87" s="4">
        <f t="shared" si="112"/>
        <v>5.0430341823864788</v>
      </c>
      <c r="AZ87" s="4">
        <f t="shared" si="113"/>
        <v>39.673314832063788</v>
      </c>
      <c r="BA87" s="4">
        <f t="shared" si="114"/>
        <v>-0.26178537908788024</v>
      </c>
      <c r="BB87" s="4">
        <f t="shared" si="115"/>
        <v>-7.252795466222163</v>
      </c>
      <c r="BC87" s="4">
        <f t="shared" si="116"/>
        <v>-4.4140596632497315</v>
      </c>
      <c r="BD87" s="4">
        <f t="shared" si="117"/>
        <v>13.470218435852587</v>
      </c>
      <c r="BE87" s="4">
        <f t="shared" si="118"/>
        <v>41.491746641974864</v>
      </c>
      <c r="BF87" s="4">
        <f t="shared" si="119"/>
        <v>-31.948329442410007</v>
      </c>
      <c r="BG87" s="4">
        <f t="shared" si="120"/>
        <v>-2.4255176132927025</v>
      </c>
      <c r="BH87" s="4">
        <f t="shared" si="121"/>
        <v>-44.717767806323799</v>
      </c>
      <c r="BI87" s="4">
        <f t="shared" si="122"/>
        <v>-6.2868934189645271</v>
      </c>
      <c r="BJ87" s="4">
        <f t="shared" si="123"/>
        <v>-180.79735556258308</v>
      </c>
      <c r="BK87" s="4">
        <f t="shared" si="124"/>
        <v>0.31688135746631152</v>
      </c>
      <c r="BL87" s="4">
        <f t="shared" si="125"/>
        <v>10.687177303976368</v>
      </c>
      <c r="BM87" s="4">
        <f t="shared" si="126"/>
        <v>26.975893227308763</v>
      </c>
      <c r="BN87" s="4">
        <f t="shared" si="127"/>
        <v>-13.285543278441052</v>
      </c>
      <c r="BO87" s="4">
        <f t="shared" si="128"/>
        <v>-149.07432591031673</v>
      </c>
      <c r="BP87" s="4">
        <f t="shared" si="129"/>
        <v>-105.15274952722038</v>
      </c>
      <c r="BQ87" s="4">
        <f t="shared" si="130"/>
        <v>-9.2407064998858885</v>
      </c>
      <c r="BR87" s="4">
        <f t="shared" si="131"/>
        <v>57.289423184998881</v>
      </c>
      <c r="BS87" s="4">
        <f t="shared" si="132"/>
        <v>542.7280440132821</v>
      </c>
      <c r="BT87" s="4">
        <f t="shared" si="133"/>
        <v>2476.4544040492146</v>
      </c>
      <c r="BU87" s="4">
        <f t="shared" si="134"/>
        <v>1.9088826326550004</v>
      </c>
      <c r="BV87" s="4">
        <f t="shared" si="135"/>
        <v>33.826901139247497</v>
      </c>
      <c r="BW87" s="4">
        <f t="shared" si="136"/>
        <v>-198.4934812177693</v>
      </c>
      <c r="BX87" s="4">
        <f t="shared" si="137"/>
        <v>-1257.0637353335646</v>
      </c>
      <c r="BY87" s="4">
        <f t="shared" si="138"/>
        <v>-4136.2220576805557</v>
      </c>
      <c r="BZ87" s="6">
        <f t="shared" si="139"/>
        <v>-1.4994948506973742</v>
      </c>
      <c r="CA87" s="7"/>
      <c r="CB87" s="6">
        <v>-1.4994942841422021</v>
      </c>
      <c r="CC87" s="6"/>
    </row>
    <row r="88" spans="1:81" x14ac:dyDescent="0.3">
      <c r="A88" s="4">
        <v>86</v>
      </c>
      <c r="B88" s="4">
        <v>164626598</v>
      </c>
      <c r="C88" s="4">
        <v>2.8090000000000002</v>
      </c>
      <c r="D88" s="4">
        <v>4.3079999999999998</v>
      </c>
      <c r="E88" s="4">
        <v>0.52700000000000002</v>
      </c>
      <c r="F88" s="4">
        <v>3.7389999999999999</v>
      </c>
      <c r="H88" s="6">
        <v>-2618.81325553337</v>
      </c>
      <c r="I88" s="4">
        <f t="shared" si="70"/>
        <v>130.37356109890001</v>
      </c>
      <c r="J88" s="4">
        <f t="shared" si="71"/>
        <v>-2120.0885483880002</v>
      </c>
      <c r="K88" s="4">
        <f t="shared" si="72"/>
        <v>1248.3716182000001</v>
      </c>
      <c r="L88" s="4">
        <f t="shared" si="73"/>
        <v>12082.601382679999</v>
      </c>
      <c r="M88" s="4">
        <f t="shared" si="74"/>
        <v>30.487720386854427</v>
      </c>
      <c r="N88" s="4">
        <f t="shared" si="75"/>
        <v>30.612495390952439</v>
      </c>
      <c r="O88" s="4">
        <f t="shared" si="76"/>
        <v>-101.892168567044</v>
      </c>
      <c r="P88" s="4">
        <f t="shared" si="77"/>
        <v>-402.70534390762901</v>
      </c>
      <c r="Q88" s="4">
        <f t="shared" si="78"/>
        <v>-222.72413811228</v>
      </c>
      <c r="R88" s="4">
        <f t="shared" si="79"/>
        <v>410.828632501176</v>
      </c>
      <c r="S88" s="4">
        <f t="shared" si="80"/>
        <v>6815.200979141604</v>
      </c>
      <c r="T88" s="4">
        <f t="shared" si="81"/>
        <v>-115.277177661254</v>
      </c>
      <c r="U88" s="4">
        <f t="shared" si="82"/>
        <v>-4051.2815356354308</v>
      </c>
      <c r="V88" s="4">
        <f t="shared" si="83"/>
        <v>-20784.213736421698</v>
      </c>
      <c r="W88" s="4">
        <f t="shared" si="84"/>
        <v>-0.802061182066095</v>
      </c>
      <c r="X88" s="4">
        <f t="shared" si="85"/>
        <v>4.5103644557896692</v>
      </c>
      <c r="Y88" s="4">
        <f t="shared" si="86"/>
        <v>2.4732946029042466</v>
      </c>
      <c r="Z88" s="4">
        <f t="shared" si="87"/>
        <v>-77.375397259705849</v>
      </c>
      <c r="AA88" s="4">
        <f t="shared" si="88"/>
        <v>12.112206972925289</v>
      </c>
      <c r="AB88" s="4">
        <f t="shared" si="89"/>
        <v>-68.720606997109357</v>
      </c>
      <c r="AC88" s="4">
        <f t="shared" si="90"/>
        <v>1.5703571387804003</v>
      </c>
      <c r="AD88" s="4">
        <f t="shared" si="91"/>
        <v>64.009078250602911</v>
      </c>
      <c r="AE88" s="4">
        <f t="shared" si="92"/>
        <v>110.19259110340444</v>
      </c>
      <c r="AF88" s="4">
        <f t="shared" si="93"/>
        <v>469.10769936149654</v>
      </c>
      <c r="AG88" s="4">
        <f t="shared" si="94"/>
        <v>-34.612387692788587</v>
      </c>
      <c r="AH88" s="4">
        <f t="shared" si="95"/>
        <v>154.54500838715009</v>
      </c>
      <c r="AI88" s="4">
        <f t="shared" si="96"/>
        <v>334.48521579134155</v>
      </c>
      <c r="AJ88" s="4">
        <f t="shared" si="97"/>
        <v>-17.590218745758921</v>
      </c>
      <c r="AK88" s="4">
        <f t="shared" si="98"/>
        <v>-1053.9585246843783</v>
      </c>
      <c r="AL88" s="4">
        <f t="shared" si="99"/>
        <v>-7023.1051176280971</v>
      </c>
      <c r="AM88" s="4">
        <f t="shared" si="100"/>
        <v>-44.058126499755403</v>
      </c>
      <c r="AN88" s="4">
        <f t="shared" si="101"/>
        <v>335.80082234396082</v>
      </c>
      <c r="AO88" s="4">
        <f t="shared" si="102"/>
        <v>4404.1926311578245</v>
      </c>
      <c r="AP88" s="4">
        <f t="shared" si="103"/>
        <v>15654.203785669279</v>
      </c>
      <c r="AQ88" s="4">
        <f t="shared" si="104"/>
        <v>4.5946806036988646E-3</v>
      </c>
      <c r="AR88" s="4">
        <f t="shared" si="105"/>
        <v>-0.13086502352221974</v>
      </c>
      <c r="AS88" s="4">
        <f t="shared" si="106"/>
        <v>3.8324211831318954E-3</v>
      </c>
      <c r="AT88" s="4">
        <f t="shared" si="107"/>
        <v>1.1000963059321569</v>
      </c>
      <c r="AU88" s="4">
        <f t="shared" si="108"/>
        <v>0.59594542902529912</v>
      </c>
      <c r="AV88" s="4">
        <f t="shared" si="109"/>
        <v>-5.3685654651853924E-3</v>
      </c>
      <c r="AW88" s="4">
        <f t="shared" si="110"/>
        <v>-6.1698289198359877</v>
      </c>
      <c r="AX88" s="4">
        <f t="shared" si="111"/>
        <v>-2.8370950822916927</v>
      </c>
      <c r="AY88" s="4">
        <f t="shared" si="112"/>
        <v>6.1346811924362754</v>
      </c>
      <c r="AZ88" s="4">
        <f t="shared" si="113"/>
        <v>41.745714009058887</v>
      </c>
      <c r="BA88" s="4">
        <f t="shared" si="114"/>
        <v>-0.19418096811752572</v>
      </c>
      <c r="BB88" s="4">
        <f t="shared" si="115"/>
        <v>-6.9891786621235461</v>
      </c>
      <c r="BC88" s="4">
        <f t="shared" si="116"/>
        <v>-3.6793595515769204</v>
      </c>
      <c r="BD88" s="4">
        <f t="shared" si="117"/>
        <v>16.863774561590898</v>
      </c>
      <c r="BE88" s="4">
        <f t="shared" si="118"/>
        <v>44.931941554000559</v>
      </c>
      <c r="BF88" s="4">
        <f t="shared" si="119"/>
        <v>-29.926431981773788</v>
      </c>
      <c r="BG88" s="4">
        <f t="shared" si="120"/>
        <v>-3.9449728571347671</v>
      </c>
      <c r="BH88" s="4">
        <f t="shared" si="121"/>
        <v>-62.91193192431448</v>
      </c>
      <c r="BI88" s="4">
        <f t="shared" si="122"/>
        <v>-7.6507202409591182</v>
      </c>
      <c r="BJ88" s="4">
        <f t="shared" si="123"/>
        <v>-190.31438518873611</v>
      </c>
      <c r="BK88" s="4">
        <f t="shared" si="124"/>
        <v>0.20924319667686753</v>
      </c>
      <c r="BL88" s="4">
        <f t="shared" si="125"/>
        <v>9.1680528529941387</v>
      </c>
      <c r="BM88" s="4">
        <f t="shared" si="126"/>
        <v>20.017196213242936</v>
      </c>
      <c r="BN88" s="4">
        <f t="shared" si="127"/>
        <v>-14.806514953184216</v>
      </c>
      <c r="BO88" s="4">
        <f t="shared" si="128"/>
        <v>-143.71089822154846</v>
      </c>
      <c r="BP88" s="4">
        <f t="shared" si="129"/>
        <v>-87.684090412648985</v>
      </c>
      <c r="BQ88" s="4">
        <f t="shared" si="130"/>
        <v>-13.379446428485652</v>
      </c>
      <c r="BR88" s="4">
        <f t="shared" si="131"/>
        <v>71.749806891789433</v>
      </c>
      <c r="BS88" s="4">
        <f t="shared" si="132"/>
        <v>587.95199539820362</v>
      </c>
      <c r="BT88" s="4">
        <f t="shared" si="133"/>
        <v>2320.6158823263709</v>
      </c>
      <c r="BU88" s="4">
        <f t="shared" si="134"/>
        <v>3.5906380801170683</v>
      </c>
      <c r="BV88" s="4">
        <f t="shared" si="135"/>
        <v>55.038670980679377</v>
      </c>
      <c r="BW88" s="4">
        <f t="shared" si="136"/>
        <v>-279.36068783328125</v>
      </c>
      <c r="BX88" s="4">
        <f t="shared" si="137"/>
        <v>-1530.3460927927404</v>
      </c>
      <c r="BY88" s="4">
        <f t="shared" si="138"/>
        <v>-4355.6154147480802</v>
      </c>
      <c r="BZ88" s="6">
        <f t="shared" si="139"/>
        <v>-1.4742985433413196</v>
      </c>
      <c r="CA88" s="7"/>
      <c r="CB88" s="6">
        <v>-1.4742978604149359</v>
      </c>
      <c r="CC88" s="6"/>
    </row>
    <row r="89" spans="1:81" x14ac:dyDescent="0.3">
      <c r="A89" s="4">
        <v>87</v>
      </c>
      <c r="B89" s="4">
        <v>15248626</v>
      </c>
      <c r="C89" s="4">
        <v>3.903</v>
      </c>
      <c r="D89" s="4">
        <v>3.198</v>
      </c>
      <c r="E89" s="4">
        <v>0.57099999999999995</v>
      </c>
      <c r="F89" s="4">
        <v>3.4580000000000002</v>
      </c>
      <c r="H89" s="6">
        <v>-2618.81325553337</v>
      </c>
      <c r="I89" s="4">
        <f t="shared" si="70"/>
        <v>181.14916659630001</v>
      </c>
      <c r="J89" s="4">
        <f t="shared" si="71"/>
        <v>-1573.8261786779999</v>
      </c>
      <c r="K89" s="4">
        <f t="shared" si="72"/>
        <v>1352.5999885999997</v>
      </c>
      <c r="L89" s="4">
        <f t="shared" si="73"/>
        <v>11174.54816296</v>
      </c>
      <c r="M89" s="4">
        <f t="shared" si="74"/>
        <v>58.859772190135381</v>
      </c>
      <c r="N89" s="4">
        <f t="shared" si="75"/>
        <v>31.575359915206377</v>
      </c>
      <c r="O89" s="4">
        <f t="shared" si="76"/>
        <v>-153.39567348020398</v>
      </c>
      <c r="P89" s="4">
        <f t="shared" si="77"/>
        <v>-517.49210516694598</v>
      </c>
      <c r="Q89" s="4">
        <f t="shared" si="78"/>
        <v>-122.73624054783001</v>
      </c>
      <c r="R89" s="4">
        <f t="shared" si="79"/>
        <v>330.43722151798795</v>
      </c>
      <c r="S89" s="4">
        <f t="shared" si="80"/>
        <v>4678.9774936730282</v>
      </c>
      <c r="T89" s="4">
        <f t="shared" si="81"/>
        <v>-135.33007457576599</v>
      </c>
      <c r="U89" s="4">
        <f t="shared" si="82"/>
        <v>-4059.63923787058</v>
      </c>
      <c r="V89" s="4">
        <f t="shared" si="83"/>
        <v>-17777.580235942802</v>
      </c>
      <c r="W89" s="4">
        <f t="shared" si="84"/>
        <v>-2.1515326164982662</v>
      </c>
      <c r="X89" s="4">
        <f t="shared" si="85"/>
        <v>6.4640993841016696</v>
      </c>
      <c r="Y89" s="4">
        <f t="shared" si="86"/>
        <v>5.1736252436214256</v>
      </c>
      <c r="Z89" s="4">
        <f t="shared" si="87"/>
        <v>-138.15481948186201</v>
      </c>
      <c r="AA89" s="4">
        <f t="shared" si="88"/>
        <v>9.2741822279595727</v>
      </c>
      <c r="AB89" s="4">
        <f t="shared" si="89"/>
        <v>-76.800147970335757</v>
      </c>
      <c r="AC89" s="4">
        <f t="shared" si="90"/>
        <v>1.4980197314661861</v>
      </c>
      <c r="AD89" s="4">
        <f t="shared" si="91"/>
        <v>104.40934503494623</v>
      </c>
      <c r="AE89" s="4">
        <f t="shared" si="92"/>
        <v>153.42432604750891</v>
      </c>
      <c r="AF89" s="4">
        <f t="shared" si="93"/>
        <v>557.51739289066325</v>
      </c>
      <c r="AG89" s="4">
        <f t="shared" si="94"/>
        <v>-14.159237092187331</v>
      </c>
      <c r="AH89" s="4">
        <f t="shared" si="95"/>
        <v>92.275414571183404</v>
      </c>
      <c r="AI89" s="4">
        <f t="shared" si="96"/>
        <v>170.47157753614161</v>
      </c>
      <c r="AJ89" s="4">
        <f t="shared" si="97"/>
        <v>-15.329394154082795</v>
      </c>
      <c r="AK89" s="4">
        <f t="shared" si="98"/>
        <v>-784.00945908034282</v>
      </c>
      <c r="AL89" s="4">
        <f t="shared" si="99"/>
        <v>-4459.3440549717607</v>
      </c>
      <c r="AM89" s="4">
        <f t="shared" si="100"/>
        <v>-56.04056492965826</v>
      </c>
      <c r="AN89" s="4">
        <f t="shared" si="101"/>
        <v>364.58791181492836</v>
      </c>
      <c r="AO89" s="4">
        <f t="shared" si="102"/>
        <v>4081.6038089111712</v>
      </c>
      <c r="AP89" s="4">
        <f t="shared" si="103"/>
        <v>12383.390107602023</v>
      </c>
      <c r="AQ89" s="4">
        <f t="shared" si="104"/>
        <v>1.7125472999316362E-2</v>
      </c>
      <c r="AR89" s="4">
        <f t="shared" si="105"/>
        <v>-0.26059542595884949</v>
      </c>
      <c r="AS89" s="4">
        <f t="shared" si="106"/>
        <v>1.1138819367433E-2</v>
      </c>
      <c r="AT89" s="4">
        <f t="shared" si="107"/>
        <v>2.7292333301641305</v>
      </c>
      <c r="AU89" s="4">
        <f t="shared" si="108"/>
        <v>0.63402392557373244</v>
      </c>
      <c r="AV89" s="4">
        <f t="shared" si="109"/>
        <v>-8.3364305280694516E-3</v>
      </c>
      <c r="AW89" s="4">
        <f t="shared" si="110"/>
        <v>-8.1778480082576994</v>
      </c>
      <c r="AX89" s="4">
        <f t="shared" si="111"/>
        <v>-6.4301114616791306</v>
      </c>
      <c r="AY89" s="4">
        <f t="shared" si="112"/>
        <v>11.868084756152829</v>
      </c>
      <c r="AZ89" s="4">
        <f t="shared" si="113"/>
        <v>68.935759572951753</v>
      </c>
      <c r="BA89" s="4">
        <f t="shared" si="114"/>
        <v>-0.11037272586855311</v>
      </c>
      <c r="BB89" s="4">
        <f t="shared" si="115"/>
        <v>-5.7983439964211732</v>
      </c>
      <c r="BC89" s="4">
        <f t="shared" si="116"/>
        <v>-2.6055181039837025</v>
      </c>
      <c r="BD89" s="4">
        <f t="shared" si="117"/>
        <v>20.419981804343628</v>
      </c>
      <c r="BE89" s="4">
        <f t="shared" si="118"/>
        <v>46.440809259250557</v>
      </c>
      <c r="BF89" s="4">
        <f t="shared" si="119"/>
        <v>-26.402409644029408</v>
      </c>
      <c r="BG89" s="4">
        <f t="shared" si="120"/>
        <v>-6.9721594494831596</v>
      </c>
      <c r="BH89" s="4">
        <f t="shared" si="121"/>
        <v>-94.907458522240717</v>
      </c>
      <c r="BI89" s="4">
        <f t="shared" si="122"/>
        <v>-9.8517566193622486</v>
      </c>
      <c r="BJ89" s="4">
        <f t="shared" si="123"/>
        <v>-209.18329506223532</v>
      </c>
      <c r="BK89" s="4">
        <f t="shared" si="124"/>
        <v>6.3542223149459925E-2</v>
      </c>
      <c r="BL89" s="4">
        <f t="shared" si="125"/>
        <v>4.0635994763266003</v>
      </c>
      <c r="BM89" s="4">
        <f t="shared" si="126"/>
        <v>7.5732285662674128</v>
      </c>
      <c r="BN89" s="4">
        <f t="shared" si="127"/>
        <v>-9.5787616153162443</v>
      </c>
      <c r="BO89" s="4">
        <f t="shared" si="128"/>
        <v>-79.357915235655383</v>
      </c>
      <c r="BP89" s="4">
        <f t="shared" si="129"/>
        <v>-41.329997435866808</v>
      </c>
      <c r="BQ89" s="4">
        <f t="shared" si="130"/>
        <v>-12.63331685729959</v>
      </c>
      <c r="BR89" s="4">
        <f t="shared" si="131"/>
        <v>57.828777467950118</v>
      </c>
      <c r="BS89" s="4">
        <f t="shared" si="132"/>
        <v>404.49128973340174</v>
      </c>
      <c r="BT89" s="4">
        <f t="shared" si="133"/>
        <v>1362.7449972475538</v>
      </c>
      <c r="BU89" s="4">
        <f t="shared" si="134"/>
        <v>4.9485003414701554</v>
      </c>
      <c r="BV89" s="4">
        <f t="shared" si="135"/>
        <v>64.746148845227182</v>
      </c>
      <c r="BW89" s="4">
        <f t="shared" si="136"/>
        <v>-280.5145063266346</v>
      </c>
      <c r="BX89" s="4">
        <f t="shared" si="137"/>
        <v>-1311.6673959213142</v>
      </c>
      <c r="BY89" s="4">
        <f t="shared" si="138"/>
        <v>-3186.6005096582653</v>
      </c>
      <c r="BZ89" s="6">
        <f t="shared" si="139"/>
        <v>-1.4396033021052972</v>
      </c>
      <c r="CA89" s="7"/>
      <c r="CB89" s="6">
        <v>-1.4396011151243331</v>
      </c>
      <c r="CC89" s="6"/>
    </row>
    <row r="90" spans="1:81" x14ac:dyDescent="0.3">
      <c r="A90" s="4">
        <v>88</v>
      </c>
      <c r="B90" s="4">
        <v>25269970</v>
      </c>
      <c r="C90" s="4">
        <v>4.0730000000000004</v>
      </c>
      <c r="D90" s="4">
        <v>6.2759999999999998</v>
      </c>
      <c r="E90" s="4">
        <v>0.56499999999999995</v>
      </c>
      <c r="F90" s="4">
        <v>3.9009999999999998</v>
      </c>
      <c r="H90" s="6">
        <v>-2618.81325553337</v>
      </c>
      <c r="I90" s="4">
        <f t="shared" si="70"/>
        <v>189.03934295330001</v>
      </c>
      <c r="J90" s="4">
        <f t="shared" si="71"/>
        <v>-3088.5969660360001</v>
      </c>
      <c r="K90" s="4">
        <f t="shared" si="72"/>
        <v>1338.3870289999998</v>
      </c>
      <c r="L90" s="4">
        <f t="shared" si="73"/>
        <v>12606.105374119999</v>
      </c>
      <c r="M90" s="4">
        <f t="shared" si="74"/>
        <v>64.098858353189797</v>
      </c>
      <c r="N90" s="4">
        <f t="shared" si="75"/>
        <v>64.664905005303964</v>
      </c>
      <c r="O90" s="4">
        <f t="shared" si="76"/>
        <v>-158.39494188445997</v>
      </c>
      <c r="P90" s="4">
        <f t="shared" si="77"/>
        <v>-609.21494508826697</v>
      </c>
      <c r="Q90" s="4">
        <f t="shared" si="78"/>
        <v>-472.69582617851995</v>
      </c>
      <c r="R90" s="4">
        <f t="shared" si="79"/>
        <v>641.66119656083981</v>
      </c>
      <c r="S90" s="4">
        <f t="shared" si="80"/>
        <v>10358.727131446092</v>
      </c>
      <c r="T90" s="4">
        <f t="shared" si="81"/>
        <v>-132.50095250734995</v>
      </c>
      <c r="U90" s="4">
        <f t="shared" si="82"/>
        <v>-4531.5913842351501</v>
      </c>
      <c r="V90" s="4">
        <f t="shared" si="83"/>
        <v>-22624.269745757694</v>
      </c>
      <c r="W90" s="4">
        <f t="shared" si="84"/>
        <v>-2.4450937224257543</v>
      </c>
      <c r="X90" s="4">
        <f t="shared" si="85"/>
        <v>13.814787791287726</v>
      </c>
      <c r="Y90" s="4">
        <f t="shared" si="86"/>
        <v>5.5749249360999951</v>
      </c>
      <c r="Z90" s="4">
        <f t="shared" si="87"/>
        <v>-169.72613387446555</v>
      </c>
      <c r="AA90" s="4">
        <f t="shared" si="88"/>
        <v>37.273522293568618</v>
      </c>
      <c r="AB90" s="4">
        <f t="shared" si="89"/>
        <v>-155.63050642849851</v>
      </c>
      <c r="AC90" s="4">
        <f t="shared" si="90"/>
        <v>3.4608982357009084</v>
      </c>
      <c r="AD90" s="4">
        <f t="shared" si="91"/>
        <v>106.67923909763113</v>
      </c>
      <c r="AE90" s="4">
        <f t="shared" si="92"/>
        <v>178.72009390845193</v>
      </c>
      <c r="AF90" s="4">
        <f t="shared" si="93"/>
        <v>740.41669410034251</v>
      </c>
      <c r="AG90" s="4">
        <f t="shared" si="94"/>
        <v>-107.01712522859259</v>
      </c>
      <c r="AH90" s="4">
        <f t="shared" si="95"/>
        <v>351.64730684232467</v>
      </c>
      <c r="AI90" s="4">
        <f t="shared" si="96"/>
        <v>740.64806491596528</v>
      </c>
      <c r="AJ90" s="4">
        <f t="shared" si="97"/>
        <v>-29.454668936125667</v>
      </c>
      <c r="AK90" s="4">
        <f t="shared" si="98"/>
        <v>-1717.469680462943</v>
      </c>
      <c r="AL90" s="4">
        <f t="shared" si="99"/>
        <v>-11137.234891989723</v>
      </c>
      <c r="AM90" s="4">
        <f t="shared" si="100"/>
        <v>-54.292460413454478</v>
      </c>
      <c r="AN90" s="4">
        <f t="shared" si="101"/>
        <v>402.69654703654487</v>
      </c>
      <c r="AO90" s="4">
        <f t="shared" si="102"/>
        <v>5139.7868493694914</v>
      </c>
      <c r="AP90" s="4">
        <f t="shared" si="103"/>
        <v>17778.390394735201</v>
      </c>
      <c r="AQ90" s="4">
        <f t="shared" si="104"/>
        <v>2.0309817016737591E-2</v>
      </c>
      <c r="AR90" s="4">
        <f t="shared" si="105"/>
        <v>-0.58119094656790815</v>
      </c>
      <c r="AS90" s="4">
        <f t="shared" si="106"/>
        <v>1.25256155365374E-2</v>
      </c>
      <c r="AT90" s="4">
        <f t="shared" si="107"/>
        <v>3.4989618247042631</v>
      </c>
      <c r="AU90" s="4">
        <f t="shared" si="108"/>
        <v>2.659171303173868</v>
      </c>
      <c r="AV90" s="4">
        <f t="shared" si="109"/>
        <v>-1.7629040195931318E-2</v>
      </c>
      <c r="AW90" s="4">
        <f t="shared" si="110"/>
        <v>-19.716335019936508</v>
      </c>
      <c r="AX90" s="4">
        <f t="shared" si="111"/>
        <v>-6.8560645519540699</v>
      </c>
      <c r="AY90" s="4">
        <f t="shared" si="112"/>
        <v>14.426987574014261</v>
      </c>
      <c r="AZ90" s="4">
        <f t="shared" si="113"/>
        <v>95.538453195757228</v>
      </c>
      <c r="BA90" s="4">
        <f t="shared" si="114"/>
        <v>-0.87054465576367401</v>
      </c>
      <c r="BB90" s="4">
        <f t="shared" si="115"/>
        <v>-23.059034889124913</v>
      </c>
      <c r="BC90" s="4">
        <f t="shared" si="116"/>
        <v>-11.813262823249856</v>
      </c>
      <c r="BD90" s="4">
        <f t="shared" si="117"/>
        <v>40.944951801675344</v>
      </c>
      <c r="BE90" s="4">
        <f t="shared" si="118"/>
        <v>106.16550116735151</v>
      </c>
      <c r="BF90" s="4">
        <f t="shared" si="119"/>
        <v>-68.812260075510139</v>
      </c>
      <c r="BG90" s="4">
        <f t="shared" si="120"/>
        <v>-7.0488811514862704</v>
      </c>
      <c r="BH90" s="4">
        <f t="shared" si="121"/>
        <v>-109.39358199026127</v>
      </c>
      <c r="BI90" s="4">
        <f t="shared" si="122"/>
        <v>-12.946244223890165</v>
      </c>
      <c r="BJ90" s="4">
        <f t="shared" si="123"/>
        <v>-313.39765509345182</v>
      </c>
      <c r="BK90" s="4">
        <f t="shared" si="124"/>
        <v>0.94249771814535999</v>
      </c>
      <c r="BL90" s="4">
        <f t="shared" si="125"/>
        <v>30.390417175653685</v>
      </c>
      <c r="BM90" s="4">
        <f t="shared" si="126"/>
        <v>64.572180527736748</v>
      </c>
      <c r="BN90" s="4">
        <f t="shared" si="127"/>
        <v>-36.119605256241975</v>
      </c>
      <c r="BO90" s="4">
        <f t="shared" si="128"/>
        <v>-341.16345362811018</v>
      </c>
      <c r="BP90" s="4">
        <f t="shared" si="129"/>
        <v>-202.57052427256718</v>
      </c>
      <c r="BQ90" s="4">
        <f t="shared" si="130"/>
        <v>-24.019219063078388</v>
      </c>
      <c r="BR90" s="4">
        <f t="shared" si="131"/>
        <v>125.3499390729602</v>
      </c>
      <c r="BS90" s="4">
        <f t="shared" si="132"/>
        <v>999.60383084102079</v>
      </c>
      <c r="BT90" s="4">
        <f t="shared" si="133"/>
        <v>3839.475989166765</v>
      </c>
      <c r="BU90" s="4">
        <f t="shared" si="134"/>
        <v>4.7437627756916632</v>
      </c>
      <c r="BV90" s="4">
        <f t="shared" si="135"/>
        <v>70.762296904058161</v>
      </c>
      <c r="BW90" s="4">
        <f t="shared" si="136"/>
        <v>-349.52796371152397</v>
      </c>
      <c r="BX90" s="4">
        <f t="shared" si="137"/>
        <v>-1863.3264426620526</v>
      </c>
      <c r="BY90" s="4">
        <f t="shared" si="138"/>
        <v>-5160.9715707061832</v>
      </c>
      <c r="BZ90" s="6">
        <f t="shared" si="139"/>
        <v>-0.6591048556019814</v>
      </c>
      <c r="CA90" s="7"/>
      <c r="CB90" s="6">
        <v>-0.65910901713914427</v>
      </c>
      <c r="CC90" s="6"/>
    </row>
    <row r="91" spans="1:81" x14ac:dyDescent="0.3">
      <c r="A91" s="4">
        <v>89</v>
      </c>
      <c r="B91" s="4">
        <v>46225078</v>
      </c>
      <c r="C91" s="4">
        <v>5.1269999999999998</v>
      </c>
      <c r="D91" s="4">
        <v>4.0330000000000004</v>
      </c>
      <c r="E91" s="4">
        <v>0.48299999999999998</v>
      </c>
      <c r="F91" s="4">
        <v>3.5019999999999998</v>
      </c>
      <c r="H91" s="6">
        <v>-2618.81325553337</v>
      </c>
      <c r="I91" s="4">
        <f t="shared" si="70"/>
        <v>237.9584363667</v>
      </c>
      <c r="J91" s="4">
        <f t="shared" si="71"/>
        <v>-1984.7532766130003</v>
      </c>
      <c r="K91" s="4">
        <f t="shared" si="72"/>
        <v>1144.1432477999999</v>
      </c>
      <c r="L91" s="4">
        <f t="shared" si="73"/>
        <v>11316.734432239999</v>
      </c>
      <c r="M91" s="4">
        <f t="shared" si="74"/>
        <v>101.56594395256577</v>
      </c>
      <c r="N91" s="4">
        <f t="shared" si="75"/>
        <v>52.307364459024569</v>
      </c>
      <c r="O91" s="4">
        <f t="shared" si="76"/>
        <v>-170.44681847482798</v>
      </c>
      <c r="P91" s="4">
        <f t="shared" si="77"/>
        <v>-688.42977819516591</v>
      </c>
      <c r="Q91" s="4">
        <f t="shared" si="78"/>
        <v>-195.19664182271754</v>
      </c>
      <c r="R91" s="4">
        <f t="shared" si="79"/>
        <v>352.49239117625405</v>
      </c>
      <c r="S91" s="4">
        <f t="shared" si="80"/>
        <v>5975.742452212723</v>
      </c>
      <c r="T91" s="4">
        <f t="shared" si="81"/>
        <v>-96.831434597813995</v>
      </c>
      <c r="U91" s="4">
        <f t="shared" si="82"/>
        <v>-3477.6799923444601</v>
      </c>
      <c r="V91" s="4">
        <f t="shared" si="83"/>
        <v>-18232.866539590796</v>
      </c>
      <c r="W91" s="4">
        <f t="shared" si="84"/>
        <v>-4.8768818324560357</v>
      </c>
      <c r="X91" s="4">
        <f t="shared" si="85"/>
        <v>14.066541114182424</v>
      </c>
      <c r="Y91" s="4">
        <f t="shared" si="86"/>
        <v>7.5515399069987295</v>
      </c>
      <c r="Z91" s="4">
        <f t="shared" si="87"/>
        <v>-241.42749310717682</v>
      </c>
      <c r="AA91" s="4">
        <f t="shared" si="88"/>
        <v>19.374919931751965</v>
      </c>
      <c r="AB91" s="4">
        <f t="shared" si="89"/>
        <v>-107.61866690497023</v>
      </c>
      <c r="AC91" s="4">
        <f t="shared" si="90"/>
        <v>2.5131778035659549</v>
      </c>
      <c r="AD91" s="4">
        <f t="shared" si="91"/>
        <v>98.135509727246671</v>
      </c>
      <c r="AE91" s="4">
        <f t="shared" si="92"/>
        <v>172.64784653538572</v>
      </c>
      <c r="AF91" s="4">
        <f t="shared" si="93"/>
        <v>751.11336967948068</v>
      </c>
      <c r="AG91" s="4">
        <f t="shared" si="94"/>
        <v>-28.398090687169191</v>
      </c>
      <c r="AH91" s="4">
        <f t="shared" si="95"/>
        <v>124.13565860900344</v>
      </c>
      <c r="AI91" s="4">
        <f t="shared" si="96"/>
        <v>274.56340879931003</v>
      </c>
      <c r="AJ91" s="4">
        <f t="shared" si="97"/>
        <v>-13.832376414130966</v>
      </c>
      <c r="AK91" s="4">
        <f t="shared" si="98"/>
        <v>-846.98016591266844</v>
      </c>
      <c r="AL91" s="4">
        <f t="shared" si="99"/>
        <v>-5767.7051303118951</v>
      </c>
      <c r="AM91" s="4">
        <f t="shared" si="100"/>
        <v>-33.91841676372735</v>
      </c>
      <c r="AN91" s="4">
        <f t="shared" si="101"/>
        <v>264.18944530280771</v>
      </c>
      <c r="AO91" s="4">
        <f t="shared" si="102"/>
        <v>3540.9857144577713</v>
      </c>
      <c r="AP91" s="4">
        <f t="shared" si="103"/>
        <v>12862.133499410076</v>
      </c>
      <c r="AQ91" s="4">
        <f t="shared" si="104"/>
        <v>5.0991952317517839E-2</v>
      </c>
      <c r="AR91" s="4">
        <f t="shared" si="105"/>
        <v>-0.74492208414060579</v>
      </c>
      <c r="AS91" s="4">
        <f t="shared" si="106"/>
        <v>2.1357208242854739E-2</v>
      </c>
      <c r="AT91" s="4">
        <f t="shared" si="107"/>
        <v>6.2650727394430072</v>
      </c>
      <c r="AU91" s="4">
        <f t="shared" si="108"/>
        <v>1.7399417304284062</v>
      </c>
      <c r="AV91" s="4">
        <f t="shared" si="109"/>
        <v>-1.5345125785463216E-2</v>
      </c>
      <c r="AW91" s="4">
        <f t="shared" si="110"/>
        <v>-18.022269607593241</v>
      </c>
      <c r="AX91" s="4">
        <f t="shared" si="111"/>
        <v>-7.9390781772015924</v>
      </c>
      <c r="AY91" s="4">
        <f t="shared" si="112"/>
        <v>17.543342685349945</v>
      </c>
      <c r="AZ91" s="4">
        <f t="shared" si="113"/>
        <v>121.99903717058739</v>
      </c>
      <c r="BA91" s="4">
        <f t="shared" si="114"/>
        <v>-0.29078755938020251</v>
      </c>
      <c r="BB91" s="4">
        <f t="shared" si="115"/>
        <v>-10.246588393111546</v>
      </c>
      <c r="BC91" s="4">
        <f t="shared" si="116"/>
        <v>-5.5125118910639914</v>
      </c>
      <c r="BD91" s="4">
        <f t="shared" si="117"/>
        <v>24.204266414443659</v>
      </c>
      <c r="BE91" s="4">
        <f t="shared" si="118"/>
        <v>65.904714507071688</v>
      </c>
      <c r="BF91" s="4">
        <f t="shared" si="119"/>
        <v>-44.858050901258835</v>
      </c>
      <c r="BG91" s="4">
        <f t="shared" si="120"/>
        <v>-5.5432586619755213</v>
      </c>
      <c r="BH91" s="4">
        <f t="shared" si="121"/>
        <v>-90.339630057581871</v>
      </c>
      <c r="BI91" s="4">
        <f t="shared" si="122"/>
        <v>-11.227208000099383</v>
      </c>
      <c r="BJ91" s="4">
        <f t="shared" si="123"/>
        <v>-285.40739676528159</v>
      </c>
      <c r="BK91" s="4">
        <f t="shared" si="124"/>
        <v>0.16071686628441229</v>
      </c>
      <c r="BL91" s="4">
        <f t="shared" si="125"/>
        <v>6.8939988397827223</v>
      </c>
      <c r="BM91" s="4">
        <f t="shared" si="126"/>
        <v>15.382308070947325</v>
      </c>
      <c r="BN91" s="4">
        <f t="shared" si="127"/>
        <v>-10.900111372753978</v>
      </c>
      <c r="BO91" s="4">
        <f t="shared" si="128"/>
        <v>-108.11649319217243</v>
      </c>
      <c r="BP91" s="4">
        <f t="shared" si="129"/>
        <v>-67.413551776942512</v>
      </c>
      <c r="BQ91" s="4">
        <f t="shared" si="130"/>
        <v>-9.6427347168966264</v>
      </c>
      <c r="BR91" s="4">
        <f t="shared" si="131"/>
        <v>52.845373481209641</v>
      </c>
      <c r="BS91" s="4">
        <f t="shared" si="132"/>
        <v>442.53972814311368</v>
      </c>
      <c r="BT91" s="4">
        <f t="shared" si="133"/>
        <v>1784.9983434132071</v>
      </c>
      <c r="BU91" s="4">
        <f t="shared" si="134"/>
        <v>2.533481250679197</v>
      </c>
      <c r="BV91" s="4">
        <f t="shared" si="135"/>
        <v>39.686076175215092</v>
      </c>
      <c r="BW91" s="4">
        <f t="shared" si="136"/>
        <v>-205.85417315028752</v>
      </c>
      <c r="BX91" s="4">
        <f t="shared" si="137"/>
        <v>-1152.4131475216109</v>
      </c>
      <c r="BY91" s="4">
        <f t="shared" si="138"/>
        <v>-3351.9090996941159</v>
      </c>
      <c r="BZ91" s="6">
        <f t="shared" si="139"/>
        <v>-1.0476676224279799</v>
      </c>
      <c r="CA91" s="7"/>
      <c r="CB91" s="6">
        <v>-1.0476666432132331</v>
      </c>
      <c r="CC91" s="6"/>
    </row>
    <row r="92" spans="1:81" x14ac:dyDescent="0.3">
      <c r="A92" s="4">
        <v>90</v>
      </c>
      <c r="B92" s="4">
        <v>44446338</v>
      </c>
      <c r="C92" s="4">
        <v>10.82</v>
      </c>
      <c r="D92" s="4">
        <v>5.1870000000000003</v>
      </c>
      <c r="E92" s="4">
        <v>0.79100000000000004</v>
      </c>
      <c r="F92" s="4">
        <v>3.0139999999999998</v>
      </c>
      <c r="H92" s="6">
        <v>-2618.81325553337</v>
      </c>
      <c r="I92" s="4">
        <f t="shared" si="70"/>
        <v>502.18651872200002</v>
      </c>
      <c r="J92" s="4">
        <f t="shared" si="71"/>
        <v>-2552.669289807</v>
      </c>
      <c r="K92" s="4">
        <f t="shared" si="72"/>
        <v>1873.7418405999999</v>
      </c>
      <c r="L92" s="4">
        <f t="shared" si="73"/>
        <v>9739.7594456799998</v>
      </c>
      <c r="M92" s="4">
        <f t="shared" si="74"/>
        <v>452.35145946336803</v>
      </c>
      <c r="N92" s="4">
        <f t="shared" si="75"/>
        <v>141.97595795472182</v>
      </c>
      <c r="O92" s="4">
        <f t="shared" si="76"/>
        <v>-589.09073893096001</v>
      </c>
      <c r="P92" s="4">
        <f t="shared" si="77"/>
        <v>-1250.4049870589199</v>
      </c>
      <c r="Q92" s="4">
        <f t="shared" si="78"/>
        <v>-322.88538950781754</v>
      </c>
      <c r="R92" s="4">
        <f t="shared" si="79"/>
        <v>742.44985296136201</v>
      </c>
      <c r="S92" s="4">
        <f t="shared" si="80"/>
        <v>6614.6520478098064</v>
      </c>
      <c r="T92" s="4">
        <f t="shared" si="81"/>
        <v>-259.70186691440603</v>
      </c>
      <c r="U92" s="4">
        <f t="shared" si="82"/>
        <v>-4901.6926441729402</v>
      </c>
      <c r="V92" s="4">
        <f t="shared" si="83"/>
        <v>-13505.453299549197</v>
      </c>
      <c r="W92" s="4">
        <f t="shared" si="84"/>
        <v>-45.838886849731807</v>
      </c>
      <c r="X92" s="4">
        <f t="shared" si="85"/>
        <v>80.575541450674564</v>
      </c>
      <c r="Y92" s="4">
        <f t="shared" si="86"/>
        <v>55.079851567516819</v>
      </c>
      <c r="Z92" s="4">
        <f t="shared" si="87"/>
        <v>-925.42604439205854</v>
      </c>
      <c r="AA92" s="4">
        <f t="shared" si="88"/>
        <v>67.636310894511581</v>
      </c>
      <c r="AB92" s="4">
        <f t="shared" si="89"/>
        <v>-478.37550104640388</v>
      </c>
      <c r="AC92" s="4">
        <f t="shared" si="90"/>
        <v>5.8708676628113192</v>
      </c>
      <c r="AD92" s="4">
        <f t="shared" si="91"/>
        <v>555.4549372431336</v>
      </c>
      <c r="AE92" s="4">
        <f t="shared" si="92"/>
        <v>513.54862174260052</v>
      </c>
      <c r="AF92" s="4">
        <f t="shared" si="93"/>
        <v>1174.1501777947699</v>
      </c>
      <c r="AG92" s="4">
        <f t="shared" si="94"/>
        <v>-60.41617408854399</v>
      </c>
      <c r="AH92" s="4">
        <f t="shared" si="95"/>
        <v>336.28071138243951</v>
      </c>
      <c r="AI92" s="4">
        <f t="shared" si="96"/>
        <v>390.88213010966911</v>
      </c>
      <c r="AJ92" s="4">
        <f t="shared" si="97"/>
        <v>-47.713747742590897</v>
      </c>
      <c r="AK92" s="4">
        <f t="shared" si="98"/>
        <v>-1535.3865270003819</v>
      </c>
      <c r="AL92" s="4">
        <f t="shared" si="99"/>
        <v>-5494.7164726107885</v>
      </c>
      <c r="AM92" s="4">
        <f t="shared" si="100"/>
        <v>-148.97851137451914</v>
      </c>
      <c r="AN92" s="4">
        <f t="shared" si="101"/>
        <v>609.81945394144248</v>
      </c>
      <c r="AO92" s="4">
        <f t="shared" si="102"/>
        <v>4295.4408191467955</v>
      </c>
      <c r="AP92" s="4">
        <f t="shared" si="103"/>
        <v>8199.6314328537464</v>
      </c>
      <c r="AQ92" s="4">
        <f t="shared" si="104"/>
        <v>1.011480264246077</v>
      </c>
      <c r="AR92" s="4">
        <f t="shared" si="105"/>
        <v>-9.0051449058643751</v>
      </c>
      <c r="AS92" s="4">
        <f t="shared" si="106"/>
        <v>0.32874992694600941</v>
      </c>
      <c r="AT92" s="4">
        <f t="shared" si="107"/>
        <v>50.680985809806707</v>
      </c>
      <c r="AU92" s="4">
        <f t="shared" si="108"/>
        <v>12.818542360456949</v>
      </c>
      <c r="AV92" s="4">
        <f t="shared" si="109"/>
        <v>-0.14395134204769794</v>
      </c>
      <c r="AW92" s="4">
        <f t="shared" si="110"/>
        <v>-88.848991208850009</v>
      </c>
      <c r="AX92" s="4">
        <f t="shared" si="111"/>
        <v>-94.832384482717046</v>
      </c>
      <c r="AY92" s="4">
        <f t="shared" si="112"/>
        <v>110.12773126726367</v>
      </c>
      <c r="AZ92" s="4">
        <f t="shared" si="113"/>
        <v>402.47462305988961</v>
      </c>
      <c r="BA92" s="4">
        <f t="shared" si="114"/>
        <v>-1.3055810675167314</v>
      </c>
      <c r="BB92" s="4">
        <f t="shared" si="115"/>
        <v>-58.579901748118097</v>
      </c>
      <c r="BC92" s="4">
        <f t="shared" si="116"/>
        <v>-16.562147223282043</v>
      </c>
      <c r="BD92" s="4">
        <f t="shared" si="117"/>
        <v>176.19865922253936</v>
      </c>
      <c r="BE92" s="4">
        <f t="shared" si="118"/>
        <v>252.13022497804411</v>
      </c>
      <c r="BF92" s="4">
        <f t="shared" si="119"/>
        <v>-90.187548332553732</v>
      </c>
      <c r="BG92" s="4">
        <f t="shared" si="120"/>
        <v>-51.382726564723676</v>
      </c>
      <c r="BH92" s="4">
        <f t="shared" si="121"/>
        <v>-440.07638336575025</v>
      </c>
      <c r="BI92" s="4">
        <f t="shared" si="122"/>
        <v>-28.742151696100407</v>
      </c>
      <c r="BJ92" s="4">
        <f t="shared" si="123"/>
        <v>-383.98166403276394</v>
      </c>
      <c r="BK92" s="4">
        <f t="shared" si="124"/>
        <v>0.43975780854716884</v>
      </c>
      <c r="BL92" s="4">
        <f t="shared" si="125"/>
        <v>24.019537275928414</v>
      </c>
      <c r="BM92" s="4">
        <f t="shared" si="126"/>
        <v>28.165190251801295</v>
      </c>
      <c r="BN92" s="4">
        <f t="shared" si="127"/>
        <v>-48.35770625769517</v>
      </c>
      <c r="BO92" s="4">
        <f t="shared" si="128"/>
        <v>-252.07191553089476</v>
      </c>
      <c r="BP92" s="4">
        <f t="shared" si="129"/>
        <v>-82.599510493831033</v>
      </c>
      <c r="BQ92" s="4">
        <f t="shared" si="130"/>
        <v>-54.472374025626983</v>
      </c>
      <c r="BR92" s="4">
        <f t="shared" si="131"/>
        <v>156.88477865035145</v>
      </c>
      <c r="BS92" s="4">
        <f t="shared" si="132"/>
        <v>690.43668057144032</v>
      </c>
      <c r="BT92" s="4">
        <f t="shared" si="133"/>
        <v>1463.5486453846656</v>
      </c>
      <c r="BU92" s="4">
        <f t="shared" si="134"/>
        <v>18.223639079097104</v>
      </c>
      <c r="BV92" s="4">
        <f t="shared" si="135"/>
        <v>150.02143873675297</v>
      </c>
      <c r="BW92" s="4">
        <f t="shared" si="136"/>
        <v>-408.95224208013298</v>
      </c>
      <c r="BX92" s="4">
        <f t="shared" si="137"/>
        <v>-1203.1475078205831</v>
      </c>
      <c r="BY92" s="4">
        <f t="shared" si="138"/>
        <v>-1839.0801522865231</v>
      </c>
      <c r="BZ92" s="6">
        <f t="shared" si="139"/>
        <v>-0.89467741605858464</v>
      </c>
      <c r="CA92" s="7"/>
      <c r="CB92" s="6">
        <v>-0.89468047602667866</v>
      </c>
      <c r="CC92" s="6"/>
    </row>
    <row r="93" spans="1:81" x14ac:dyDescent="0.3">
      <c r="A93" s="4">
        <v>91</v>
      </c>
      <c r="B93" s="4">
        <v>1485236</v>
      </c>
      <c r="C93" s="4">
        <v>2.8439999999999999</v>
      </c>
      <c r="D93" s="4">
        <v>4.0620000000000003</v>
      </c>
      <c r="E93" s="4">
        <v>0.56100000000000005</v>
      </c>
      <c r="F93" s="4">
        <v>3.806</v>
      </c>
      <c r="H93" s="6">
        <v>-2618.81325553337</v>
      </c>
      <c r="I93" s="4">
        <f t="shared" si="70"/>
        <v>131.9980091724</v>
      </c>
      <c r="J93" s="4">
        <f t="shared" si="71"/>
        <v>-1999.0249961820002</v>
      </c>
      <c r="K93" s="4">
        <f t="shared" si="72"/>
        <v>1328.9117226000001</v>
      </c>
      <c r="L93" s="4">
        <f t="shared" si="73"/>
        <v>12299.112292719999</v>
      </c>
      <c r="M93" s="4">
        <f t="shared" si="74"/>
        <v>31.25220456939552</v>
      </c>
      <c r="N93" s="4">
        <f t="shared" si="75"/>
        <v>29.224077440992556</v>
      </c>
      <c r="O93" s="4">
        <f t="shared" si="76"/>
        <v>-109.817336032272</v>
      </c>
      <c r="P93" s="4">
        <f t="shared" si="77"/>
        <v>-415.02911511045596</v>
      </c>
      <c r="Q93" s="4">
        <f t="shared" si="78"/>
        <v>-198.01392660063004</v>
      </c>
      <c r="R93" s="4">
        <f t="shared" si="79"/>
        <v>412.36061095825204</v>
      </c>
      <c r="S93" s="4">
        <f t="shared" si="80"/>
        <v>6541.1816668977253</v>
      </c>
      <c r="T93" s="4">
        <f t="shared" si="81"/>
        <v>-130.63147395744602</v>
      </c>
      <c r="U93" s="4">
        <f t="shared" si="82"/>
        <v>-4389.9339853914607</v>
      </c>
      <c r="V93" s="4">
        <f t="shared" si="83"/>
        <v>-21535.7617242372</v>
      </c>
      <c r="W93" s="4">
        <f t="shared" si="84"/>
        <v>-0.83241722150151842</v>
      </c>
      <c r="X93" s="4">
        <f t="shared" si="85"/>
        <v>4.3594486474068033</v>
      </c>
      <c r="Y93" s="4">
        <f t="shared" si="86"/>
        <v>2.6988814079211685</v>
      </c>
      <c r="Z93" s="4">
        <f t="shared" si="87"/>
        <v>-80.736871409533052</v>
      </c>
      <c r="AA93" s="4">
        <f t="shared" si="88"/>
        <v>10.902587608641308</v>
      </c>
      <c r="AB93" s="4">
        <f t="shared" si="89"/>
        <v>-69.83631419859428</v>
      </c>
      <c r="AC93" s="4">
        <f t="shared" si="90"/>
        <v>1.525997525014819</v>
      </c>
      <c r="AD93" s="4">
        <f t="shared" si="91"/>
        <v>73.438520377749057</v>
      </c>
      <c r="AE93" s="4">
        <f t="shared" si="92"/>
        <v>120.89151301520472</v>
      </c>
      <c r="AF93" s="4">
        <f t="shared" si="93"/>
        <v>492.12683984332102</v>
      </c>
      <c r="AG93" s="4">
        <f t="shared" si="94"/>
        <v>-29.01511077195071</v>
      </c>
      <c r="AH93" s="4">
        <f t="shared" si="95"/>
        <v>146.26340427062163</v>
      </c>
      <c r="AI93" s="4">
        <f t="shared" si="96"/>
        <v>302.70437260504144</v>
      </c>
      <c r="AJ93" s="4">
        <f t="shared" si="97"/>
        <v>-18.794897290958822</v>
      </c>
      <c r="AK93" s="4">
        <f t="shared" si="98"/>
        <v>-1076.8452833712515</v>
      </c>
      <c r="AL93" s="4">
        <f t="shared" si="99"/>
        <v>-6861.515215969539</v>
      </c>
      <c r="AM93" s="4">
        <f t="shared" si="100"/>
        <v>-53.147490585133447</v>
      </c>
      <c r="AN93" s="4">
        <f t="shared" si="101"/>
        <v>387.34643768010847</v>
      </c>
      <c r="AO93" s="4">
        <f t="shared" si="102"/>
        <v>4857.8621810201157</v>
      </c>
      <c r="AP93" s="4">
        <f t="shared" si="103"/>
        <v>16510.907317517747</v>
      </c>
      <c r="AQ93" s="4">
        <f t="shared" si="104"/>
        <v>4.8279941866071043E-3</v>
      </c>
      <c r="AR93" s="4">
        <f t="shared" si="105"/>
        <v>-0.12806232155145056</v>
      </c>
      <c r="AS93" s="4">
        <f t="shared" si="106"/>
        <v>4.2340797772919599E-3</v>
      </c>
      <c r="AT93" s="4">
        <f t="shared" si="107"/>
        <v>1.162191202755938</v>
      </c>
      <c r="AU93" s="4">
        <f t="shared" si="108"/>
        <v>0.54311356200647665</v>
      </c>
      <c r="AV93" s="4">
        <f t="shared" si="109"/>
        <v>-5.5237044024828343E-3</v>
      </c>
      <c r="AW93" s="4">
        <f t="shared" si="110"/>
        <v>-6.0702471092725014</v>
      </c>
      <c r="AX93" s="4">
        <f t="shared" si="111"/>
        <v>-3.2955969235248017</v>
      </c>
      <c r="AY93" s="4">
        <f t="shared" si="112"/>
        <v>6.8141747792897025</v>
      </c>
      <c r="AZ93" s="4">
        <f t="shared" si="113"/>
        <v>44.339851761387045</v>
      </c>
      <c r="BA93" s="4">
        <f t="shared" si="114"/>
        <v>-0.16480758221633188</v>
      </c>
      <c r="BB93" s="4">
        <f t="shared" si="115"/>
        <v>-6.6970677143798509</v>
      </c>
      <c r="BC93" s="4">
        <f t="shared" si="116"/>
        <v>-3.3712569147496527</v>
      </c>
      <c r="BD93" s="4">
        <f t="shared" si="117"/>
        <v>18.243214193816691</v>
      </c>
      <c r="BE93" s="4">
        <f t="shared" si="118"/>
        <v>46.479647683515616</v>
      </c>
      <c r="BF93" s="4">
        <f t="shared" si="119"/>
        <v>-29.60217730116937</v>
      </c>
      <c r="BG93" s="4">
        <f t="shared" si="120"/>
        <v>-4.8181310731778799</v>
      </c>
      <c r="BH93" s="4">
        <f t="shared" si="121"/>
        <v>-73.473154390089618</v>
      </c>
      <c r="BI93" s="4">
        <f t="shared" si="122"/>
        <v>-8.5439570826732041</v>
      </c>
      <c r="BJ93" s="4">
        <f t="shared" si="123"/>
        <v>-203.23075265605556</v>
      </c>
      <c r="BK93" s="4">
        <f t="shared" si="124"/>
        <v>0.16538961797157611</v>
      </c>
      <c r="BL93" s="4">
        <f t="shared" si="125"/>
        <v>8.1812945289944974</v>
      </c>
      <c r="BM93" s="4">
        <f t="shared" si="126"/>
        <v>17.08084054287772</v>
      </c>
      <c r="BN93" s="4">
        <f t="shared" si="127"/>
        <v>-14.917147723321911</v>
      </c>
      <c r="BO93" s="4">
        <f t="shared" si="128"/>
        <v>-138.44705357652552</v>
      </c>
      <c r="BP93" s="4">
        <f t="shared" si="129"/>
        <v>-80.774799314048749</v>
      </c>
      <c r="BQ93" s="4">
        <f t="shared" si="130"/>
        <v>-15.21805353458393</v>
      </c>
      <c r="BR93" s="4">
        <f t="shared" si="131"/>
        <v>78.037396487251343</v>
      </c>
      <c r="BS93" s="4">
        <f t="shared" si="132"/>
        <v>611.48382944042487</v>
      </c>
      <c r="BT93" s="4">
        <f t="shared" si="133"/>
        <v>2307.849271342317</v>
      </c>
      <c r="BU93" s="4">
        <f t="shared" si="134"/>
        <v>4.610845993334765</v>
      </c>
      <c r="BV93" s="4">
        <f t="shared" si="135"/>
        <v>67.583082356502928</v>
      </c>
      <c r="BW93" s="4">
        <f t="shared" si="136"/>
        <v>-328.01705190369296</v>
      </c>
      <c r="BX93" s="4">
        <f t="shared" si="137"/>
        <v>-1718.2322314321527</v>
      </c>
      <c r="BY93" s="4">
        <f t="shared" si="138"/>
        <v>-4676.304700209158</v>
      </c>
      <c r="BZ93" s="6">
        <f t="shared" si="139"/>
        <v>-1.4098948859736993</v>
      </c>
      <c r="CA93" s="7"/>
      <c r="CB93" s="6">
        <v>-1.4098943005928961</v>
      </c>
      <c r="CC93" s="6"/>
    </row>
    <row r="94" spans="1:81" x14ac:dyDescent="0.3">
      <c r="A94" s="4">
        <v>92</v>
      </c>
      <c r="B94" s="4">
        <v>127033498</v>
      </c>
      <c r="C94" s="4">
        <v>5.9080000000000004</v>
      </c>
      <c r="D94" s="4">
        <v>7.3949999999999996</v>
      </c>
      <c r="E94" s="4">
        <v>0.41499999999999998</v>
      </c>
      <c r="F94" s="4">
        <v>3.5270000000000001</v>
      </c>
      <c r="H94" s="6">
        <v>-2618.81325553337</v>
      </c>
      <c r="I94" s="4">
        <f t="shared" si="70"/>
        <v>274.20683480680003</v>
      </c>
      <c r="J94" s="4">
        <f t="shared" si="71"/>
        <v>-3639.2884900949998</v>
      </c>
      <c r="K94" s="4">
        <f t="shared" si="72"/>
        <v>983.06303899999989</v>
      </c>
      <c r="L94" s="4">
        <f t="shared" si="73"/>
        <v>11397.52208524</v>
      </c>
      <c r="M94" s="4">
        <f t="shared" si="74"/>
        <v>134.86599089270049</v>
      </c>
      <c r="N94" s="4">
        <f t="shared" si="75"/>
        <v>110.5223126637882</v>
      </c>
      <c r="O94" s="4">
        <f t="shared" si="76"/>
        <v>-168.75903539655999</v>
      </c>
      <c r="P94" s="4">
        <f t="shared" si="77"/>
        <v>-798.96201964216402</v>
      </c>
      <c r="Q94" s="4">
        <f t="shared" si="78"/>
        <v>-656.28466186893741</v>
      </c>
      <c r="R94" s="4">
        <f t="shared" si="79"/>
        <v>555.34219069004985</v>
      </c>
      <c r="S94" s="4">
        <f t="shared" si="80"/>
        <v>11035.477912314556</v>
      </c>
      <c r="T94" s="4">
        <f t="shared" si="81"/>
        <v>-71.485555785349987</v>
      </c>
      <c r="U94" s="4">
        <f t="shared" si="82"/>
        <v>-3009.3998893235503</v>
      </c>
      <c r="V94" s="4">
        <f t="shared" si="83"/>
        <v>-18494.116492923302</v>
      </c>
      <c r="W94" s="4">
        <f t="shared" si="84"/>
        <v>-7.4623177960520133</v>
      </c>
      <c r="X94" s="4">
        <f t="shared" si="85"/>
        <v>34.249293296229951</v>
      </c>
      <c r="Y94" s="4">
        <f t="shared" si="86"/>
        <v>8.6157051148189812</v>
      </c>
      <c r="Z94" s="4">
        <f t="shared" si="87"/>
        <v>-322.87199796781039</v>
      </c>
      <c r="AA94" s="4">
        <f t="shared" si="88"/>
        <v>75.064915193299839</v>
      </c>
      <c r="AB94" s="4">
        <f t="shared" si="89"/>
        <v>-195.37801796209092</v>
      </c>
      <c r="AC94" s="4">
        <f t="shared" si="90"/>
        <v>5.3481017191590636</v>
      </c>
      <c r="AD94" s="4">
        <f t="shared" si="91"/>
        <v>83.484391053505263</v>
      </c>
      <c r="AE94" s="4">
        <f t="shared" si="92"/>
        <v>172.15855896037726</v>
      </c>
      <c r="AF94" s="4">
        <f t="shared" si="93"/>
        <v>877.93284582241085</v>
      </c>
      <c r="AG94" s="4">
        <f t="shared" si="94"/>
        <v>-175.07293427690294</v>
      </c>
      <c r="AH94" s="4">
        <f t="shared" si="95"/>
        <v>358.60590066474964</v>
      </c>
      <c r="AI94" s="4">
        <f t="shared" si="96"/>
        <v>929.71939020454113</v>
      </c>
      <c r="AJ94" s="4">
        <f t="shared" si="97"/>
        <v>-18.724433489654096</v>
      </c>
      <c r="AK94" s="4">
        <f t="shared" si="98"/>
        <v>-1343.9201965451814</v>
      </c>
      <c r="AL94" s="4">
        <f t="shared" si="99"/>
        <v>-10727.330015446822</v>
      </c>
      <c r="AM94" s="4">
        <f t="shared" si="100"/>
        <v>-21.514857306119495</v>
      </c>
      <c r="AN94" s="4">
        <f t="shared" si="101"/>
        <v>196.42950076236033</v>
      </c>
      <c r="AO94" s="4">
        <f t="shared" si="102"/>
        <v>3086.0558145643136</v>
      </c>
      <c r="AP94" s="4">
        <f t="shared" si="103"/>
        <v>13139.564365494067</v>
      </c>
      <c r="AQ94" s="4">
        <f t="shared" si="104"/>
        <v>8.991048012525199E-2</v>
      </c>
      <c r="AR94" s="4">
        <f t="shared" si="105"/>
        <v>-2.090029006850195</v>
      </c>
      <c r="AS94" s="4">
        <f t="shared" si="106"/>
        <v>2.8078697352187654E-2</v>
      </c>
      <c r="AT94" s="4">
        <f t="shared" si="107"/>
        <v>9.6548813971533303</v>
      </c>
      <c r="AU94" s="4">
        <f t="shared" si="108"/>
        <v>7.7679953212987822</v>
      </c>
      <c r="AV94" s="4">
        <f t="shared" si="109"/>
        <v>-3.2102267805460792E-2</v>
      </c>
      <c r="AW94" s="4">
        <f t="shared" si="110"/>
        <v>-44.193977980355783</v>
      </c>
      <c r="AX94" s="4">
        <f t="shared" si="111"/>
        <v>-7.7826293733677661</v>
      </c>
      <c r="AY94" s="4">
        <f t="shared" si="112"/>
        <v>20.158442262284463</v>
      </c>
      <c r="AZ94" s="4">
        <f t="shared" si="113"/>
        <v>164.31960316655363</v>
      </c>
      <c r="BA94" s="4">
        <f t="shared" si="114"/>
        <v>-2.0657742544680557</v>
      </c>
      <c r="BB94" s="4">
        <f t="shared" si="115"/>
        <v>-34.109655935623884</v>
      </c>
      <c r="BC94" s="4">
        <f t="shared" si="116"/>
        <v>-21.509778542805567</v>
      </c>
      <c r="BD94" s="4">
        <f t="shared" si="117"/>
        <v>37.755565716905963</v>
      </c>
      <c r="BE94" s="4">
        <f t="shared" si="118"/>
        <v>120.50189938972453</v>
      </c>
      <c r="BF94" s="4">
        <f t="shared" si="119"/>
        <v>-96.140452255501231</v>
      </c>
      <c r="BG94" s="4">
        <f t="shared" si="120"/>
        <v>-4.0517739824294381</v>
      </c>
      <c r="BH94" s="4">
        <f t="shared" si="121"/>
        <v>-77.40102764934349</v>
      </c>
      <c r="BI94" s="4">
        <f t="shared" si="122"/>
        <v>-11.275311261012416</v>
      </c>
      <c r="BJ94" s="4">
        <f t="shared" si="123"/>
        <v>-335.97761843119457</v>
      </c>
      <c r="BK94" s="4">
        <f t="shared" si="124"/>
        <v>1.8167755689822023</v>
      </c>
      <c r="BL94" s="4">
        <f t="shared" si="125"/>
        <v>36.517584335466175</v>
      </c>
      <c r="BM94" s="4">
        <f t="shared" si="126"/>
        <v>95.508206970241687</v>
      </c>
      <c r="BN94" s="4">
        <f t="shared" si="127"/>
        <v>-27.055326541518372</v>
      </c>
      <c r="BO94" s="4">
        <f t="shared" si="128"/>
        <v>-314.55902298767654</v>
      </c>
      <c r="BP94" s="4">
        <f t="shared" si="129"/>
        <v>-229.90359249182845</v>
      </c>
      <c r="BQ94" s="4">
        <f t="shared" si="130"/>
        <v>-11.215356247337992</v>
      </c>
      <c r="BR94" s="4">
        <f t="shared" si="131"/>
        <v>72.045718649131544</v>
      </c>
      <c r="BS94" s="4">
        <f t="shared" si="132"/>
        <v>707.19930117289744</v>
      </c>
      <c r="BT94" s="4">
        <f t="shared" si="133"/>
        <v>3343.6108626076129</v>
      </c>
      <c r="BU94" s="4">
        <f t="shared" si="134"/>
        <v>1.3807706863567453</v>
      </c>
      <c r="BV94" s="4">
        <f t="shared" si="135"/>
        <v>25.353059605060267</v>
      </c>
      <c r="BW94" s="4">
        <f t="shared" si="136"/>
        <v>-154.14883376529994</v>
      </c>
      <c r="BX94" s="4">
        <f t="shared" si="137"/>
        <v>-1011.5261719949497</v>
      </c>
      <c r="BY94" s="4">
        <f t="shared" si="138"/>
        <v>-3448.6530467717239</v>
      </c>
      <c r="BZ94" s="6">
        <f t="shared" si="139"/>
        <v>-1.1378486150870231</v>
      </c>
      <c r="CA94" s="7"/>
      <c r="CB94" s="6">
        <v>-1.137852248928084</v>
      </c>
      <c r="CC94" s="6"/>
    </row>
    <row r="95" spans="1:81" x14ac:dyDescent="0.3">
      <c r="A95" s="4">
        <v>93</v>
      </c>
      <c r="B95" s="4">
        <v>65948</v>
      </c>
      <c r="C95" s="4">
        <v>6.6079999999999997</v>
      </c>
      <c r="D95" s="4">
        <v>7.5149999999999997</v>
      </c>
      <c r="E95" s="4">
        <v>0.56200000000000006</v>
      </c>
      <c r="F95" s="4">
        <v>3.831</v>
      </c>
      <c r="H95" s="6">
        <v>-2618.81325553337</v>
      </c>
      <c r="I95" s="4">
        <f t="shared" si="70"/>
        <v>306.69579627679997</v>
      </c>
      <c r="J95" s="4">
        <f t="shared" si="71"/>
        <v>-3698.3438814149999</v>
      </c>
      <c r="K95" s="4">
        <f t="shared" si="72"/>
        <v>1331.2805492</v>
      </c>
      <c r="L95" s="4">
        <f t="shared" si="73"/>
        <v>12379.899945720001</v>
      </c>
      <c r="M95" s="4">
        <f t="shared" si="74"/>
        <v>168.71804830888445</v>
      </c>
      <c r="N95" s="4">
        <f t="shared" si="75"/>
        <v>125.62333484052239</v>
      </c>
      <c r="O95" s="4">
        <f t="shared" si="76"/>
        <v>-255.61409675916798</v>
      </c>
      <c r="P95" s="4">
        <f t="shared" si="77"/>
        <v>-970.64936481979191</v>
      </c>
      <c r="Q95" s="4">
        <f t="shared" si="78"/>
        <v>-677.75677502793746</v>
      </c>
      <c r="R95" s="4">
        <f t="shared" si="79"/>
        <v>764.25747400998</v>
      </c>
      <c r="S95" s="4">
        <f t="shared" si="80"/>
        <v>12181.159917277155</v>
      </c>
      <c r="T95" s="4">
        <f t="shared" si="81"/>
        <v>-131.09759838274402</v>
      </c>
      <c r="U95" s="4">
        <f t="shared" si="82"/>
        <v>-4426.6461947668213</v>
      </c>
      <c r="V95" s="4">
        <f t="shared" si="83"/>
        <v>-21819.6094826097</v>
      </c>
      <c r="W95" s="4">
        <f t="shared" si="84"/>
        <v>-10.441487750406448</v>
      </c>
      <c r="X95" s="4">
        <f t="shared" si="85"/>
        <v>43.541312539331251</v>
      </c>
      <c r="Y95" s="4">
        <f t="shared" si="86"/>
        <v>14.596144036325965</v>
      </c>
      <c r="Z95" s="4">
        <f t="shared" si="87"/>
        <v>-438.72882483055059</v>
      </c>
      <c r="AA95" s="4">
        <f t="shared" si="88"/>
        <v>86.705801892312323</v>
      </c>
      <c r="AB95" s="4">
        <f t="shared" si="89"/>
        <v>-300.73520618418308</v>
      </c>
      <c r="AC95" s="4">
        <f t="shared" si="90"/>
        <v>6.6027781491333091</v>
      </c>
      <c r="AD95" s="4">
        <f t="shared" si="91"/>
        <v>171.24238547379079</v>
      </c>
      <c r="AE95" s="4">
        <f t="shared" si="92"/>
        <v>283.23901644542042</v>
      </c>
      <c r="AF95" s="4">
        <f t="shared" si="93"/>
        <v>1158.5218517408409</v>
      </c>
      <c r="AG95" s="4">
        <f t="shared" si="94"/>
        <v>-183.73480403120158</v>
      </c>
      <c r="AH95" s="4">
        <f t="shared" si="95"/>
        <v>501.5188527960284</v>
      </c>
      <c r="AI95" s="4">
        <f t="shared" si="96"/>
        <v>1042.8940607809602</v>
      </c>
      <c r="AJ95" s="4">
        <f t="shared" si="97"/>
        <v>-34.896022739302616</v>
      </c>
      <c r="AK95" s="4">
        <f t="shared" si="98"/>
        <v>-2008.904068732324</v>
      </c>
      <c r="AL95" s="4">
        <f t="shared" si="99"/>
        <v>-12861.624696621067</v>
      </c>
      <c r="AM95" s="4">
        <f t="shared" si="100"/>
        <v>-53.432208681045672</v>
      </c>
      <c r="AN95" s="4">
        <f t="shared" si="101"/>
        <v>391.28197587018354</v>
      </c>
      <c r="AO95" s="4">
        <f t="shared" si="102"/>
        <v>4930.6636753872763</v>
      </c>
      <c r="AP95" s="4">
        <f t="shared" si="103"/>
        <v>16838.408590380295</v>
      </c>
      <c r="AQ95" s="4">
        <f t="shared" si="104"/>
        <v>0.14071114840168542</v>
      </c>
      <c r="AR95" s="4">
        <f t="shared" si="105"/>
        <v>-2.9718833797937454</v>
      </c>
      <c r="AS95" s="4">
        <f t="shared" si="106"/>
        <v>5.3205167857137171E-2</v>
      </c>
      <c r="AT95" s="4">
        <f t="shared" si="107"/>
        <v>14.673789290809005</v>
      </c>
      <c r="AU95" s="4">
        <f t="shared" si="108"/>
        <v>10.03574606595391</v>
      </c>
      <c r="AV95" s="4">
        <f t="shared" si="109"/>
        <v>-5.5268010854389482E-2</v>
      </c>
      <c r="AW95" s="4">
        <f t="shared" si="110"/>
        <v>-61.026672311736377</v>
      </c>
      <c r="AX95" s="4">
        <f t="shared" si="111"/>
        <v>-17.855083350904003</v>
      </c>
      <c r="AY95" s="4">
        <f t="shared" si="112"/>
        <v>37.094624194947073</v>
      </c>
      <c r="AZ95" s="4">
        <f t="shared" si="113"/>
        <v>242.52798437442118</v>
      </c>
      <c r="BA95" s="4">
        <f t="shared" si="114"/>
        <v>-2.424849717846489</v>
      </c>
      <c r="BB95" s="4">
        <f t="shared" si="115"/>
        <v>-53.355195850647249</v>
      </c>
      <c r="BC95" s="4">
        <f t="shared" si="116"/>
        <v>-26.986949243052255</v>
      </c>
      <c r="BD95" s="4">
        <f t="shared" si="117"/>
        <v>78.700551179832388</v>
      </c>
      <c r="BE95" s="4">
        <f t="shared" si="118"/>
        <v>201.46943007608346</v>
      </c>
      <c r="BF95" s="4">
        <f t="shared" si="119"/>
        <v>-128.92581921438867</v>
      </c>
      <c r="BG95" s="4">
        <f t="shared" si="120"/>
        <v>-11.254842338231526</v>
      </c>
      <c r="BH95" s="4">
        <f t="shared" si="121"/>
        <v>-172.44849341235209</v>
      </c>
      <c r="BI95" s="4">
        <f t="shared" si="122"/>
        <v>-20.149287368659156</v>
      </c>
      <c r="BJ95" s="4">
        <f t="shared" si="123"/>
        <v>-481.57060734702554</v>
      </c>
      <c r="BK95" s="4">
        <f t="shared" si="124"/>
        <v>1.9376017027463501</v>
      </c>
      <c r="BL95" s="4">
        <f t="shared" si="125"/>
        <v>51.899440926416702</v>
      </c>
      <c r="BM95" s="4">
        <f t="shared" si="126"/>
        <v>108.87290320461715</v>
      </c>
      <c r="BN95" s="4">
        <f t="shared" si="127"/>
        <v>-51.240201729605729</v>
      </c>
      <c r="BO95" s="4">
        <f t="shared" si="128"/>
        <v>-477.83578584104191</v>
      </c>
      <c r="BP95" s="4">
        <f t="shared" si="129"/>
        <v>-280.11783137454239</v>
      </c>
      <c r="BQ95" s="4">
        <f t="shared" si="130"/>
        <v>-28.305350453888916</v>
      </c>
      <c r="BR95" s="4">
        <f t="shared" si="131"/>
        <v>145.84183310380263</v>
      </c>
      <c r="BS95" s="4">
        <f t="shared" si="132"/>
        <v>1148.2441273947782</v>
      </c>
      <c r="BT95" s="4">
        <f t="shared" si="133"/>
        <v>4354.3828520223005</v>
      </c>
      <c r="BU95" s="4">
        <f t="shared" si="134"/>
        <v>4.6438099085980014</v>
      </c>
      <c r="BV95" s="4">
        <f t="shared" si="135"/>
        <v>68.391436586530972</v>
      </c>
      <c r="BW95" s="4">
        <f t="shared" si="136"/>
        <v>-333.52628471086609</v>
      </c>
      <c r="BX95" s="4">
        <f t="shared" si="137"/>
        <v>-1755.4376951810023</v>
      </c>
      <c r="BY95" s="4">
        <f t="shared" si="138"/>
        <v>-4800.3872485546108</v>
      </c>
      <c r="BZ95" s="6">
        <f t="shared" si="139"/>
        <v>-1.1417608023239154</v>
      </c>
      <c r="CA95" s="7"/>
      <c r="CB95" s="6">
        <v>-1.1417679066657911</v>
      </c>
      <c r="CC95" s="6"/>
    </row>
    <row r="96" spans="1:81" x14ac:dyDescent="0.3">
      <c r="A96" s="4">
        <v>94</v>
      </c>
      <c r="B96" s="4">
        <v>637760</v>
      </c>
      <c r="C96" s="4">
        <v>2.9220000000000002</v>
      </c>
      <c r="D96" s="4">
        <v>2.2850000000000001</v>
      </c>
      <c r="E96" s="4">
        <v>0.77600000000000002</v>
      </c>
      <c r="F96" s="4">
        <v>3.3839999999999999</v>
      </c>
      <c r="H96" s="6">
        <v>-2618.81325553337</v>
      </c>
      <c r="I96" s="4">
        <f t="shared" si="70"/>
        <v>135.61820773620002</v>
      </c>
      <c r="J96" s="4">
        <f t="shared" si="71"/>
        <v>-1124.5130763850002</v>
      </c>
      <c r="K96" s="4">
        <f t="shared" si="72"/>
        <v>1838.2094416</v>
      </c>
      <c r="L96" s="4">
        <f t="shared" si="73"/>
        <v>10935.41671008</v>
      </c>
      <c r="M96" s="4">
        <f t="shared" si="74"/>
        <v>32.989968245468887</v>
      </c>
      <c r="N96" s="4">
        <f t="shared" si="75"/>
        <v>16.8903136697379</v>
      </c>
      <c r="O96" s="4">
        <f t="shared" si="76"/>
        <v>-156.070342646976</v>
      </c>
      <c r="P96" s="4">
        <f t="shared" si="77"/>
        <v>-379.13227279099198</v>
      </c>
      <c r="Q96" s="4">
        <f t="shared" si="78"/>
        <v>-62.659699322937506</v>
      </c>
      <c r="R96" s="4">
        <f t="shared" si="79"/>
        <v>320.86498003176001</v>
      </c>
      <c r="S96" s="4">
        <f t="shared" si="80"/>
        <v>3271.6291315654803</v>
      </c>
      <c r="T96" s="4">
        <f t="shared" si="81"/>
        <v>-249.945629499776</v>
      </c>
      <c r="U96" s="4">
        <f t="shared" si="82"/>
        <v>-5399.0633078150404</v>
      </c>
      <c r="V96" s="4">
        <f t="shared" si="83"/>
        <v>-17024.853296851197</v>
      </c>
      <c r="W96" s="4">
        <f t="shared" si="84"/>
        <v>-0.90280283705174014</v>
      </c>
      <c r="X96" s="4">
        <f t="shared" si="85"/>
        <v>2.588684305045684</v>
      </c>
      <c r="Y96" s="4">
        <f t="shared" si="86"/>
        <v>3.9407955187453165</v>
      </c>
      <c r="Z96" s="4">
        <f t="shared" si="87"/>
        <v>-75.776532066429553</v>
      </c>
      <c r="AA96" s="4">
        <f t="shared" si="88"/>
        <v>3.5446452346095474</v>
      </c>
      <c r="AB96" s="4">
        <f t="shared" si="89"/>
        <v>-55.831214489799962</v>
      </c>
      <c r="AC96" s="4">
        <f t="shared" si="90"/>
        <v>0.78417375761959152</v>
      </c>
      <c r="AD96" s="4">
        <f t="shared" si="91"/>
        <v>144.36843804261068</v>
      </c>
      <c r="AE96" s="4">
        <f t="shared" si="92"/>
        <v>152.75901979295048</v>
      </c>
      <c r="AF96" s="4">
        <f t="shared" si="93"/>
        <v>399.71533647796866</v>
      </c>
      <c r="AG96" s="4">
        <f t="shared" si="94"/>
        <v>-5.1649139330957698</v>
      </c>
      <c r="AH96" s="4">
        <f t="shared" si="95"/>
        <v>64.021686151469495</v>
      </c>
      <c r="AI96" s="4">
        <f t="shared" si="96"/>
        <v>85.167291412083515</v>
      </c>
      <c r="AJ96" s="4">
        <f t="shared" si="97"/>
        <v>-20.229444727102209</v>
      </c>
      <c r="AK96" s="4">
        <f t="shared" si="98"/>
        <v>-745.00643831488128</v>
      </c>
      <c r="AL96" s="4">
        <f t="shared" si="99"/>
        <v>-3051.3319531430516</v>
      </c>
      <c r="AM96" s="4">
        <f t="shared" si="100"/>
        <v>-140.66282770919631</v>
      </c>
      <c r="AN96" s="4">
        <f t="shared" si="101"/>
        <v>658.95970211727206</v>
      </c>
      <c r="AO96" s="4">
        <f t="shared" si="102"/>
        <v>5312.1116005261702</v>
      </c>
      <c r="AP96" s="4">
        <f t="shared" si="103"/>
        <v>11605.280739251024</v>
      </c>
      <c r="AQ96" s="4">
        <f t="shared" si="104"/>
        <v>5.3798382285830783E-3</v>
      </c>
      <c r="AR96" s="4">
        <f t="shared" si="105"/>
        <v>-7.8130304074044338E-2</v>
      </c>
      <c r="AS96" s="4">
        <f t="shared" si="106"/>
        <v>6.3519892617989451E-3</v>
      </c>
      <c r="AT96" s="4">
        <f t="shared" si="107"/>
        <v>1.120704234137833</v>
      </c>
      <c r="AU96" s="4">
        <f t="shared" si="108"/>
        <v>0.18141970540414029</v>
      </c>
      <c r="AV96" s="4">
        <f t="shared" si="109"/>
        <v>-4.5370839378105913E-3</v>
      </c>
      <c r="AW96" s="4">
        <f t="shared" si="110"/>
        <v>-3.2049072506699905</v>
      </c>
      <c r="AX96" s="4">
        <f t="shared" si="111"/>
        <v>-6.6563024590138484</v>
      </c>
      <c r="AY96" s="4">
        <f t="shared" si="112"/>
        <v>8.8465704066747275</v>
      </c>
      <c r="AZ96" s="4">
        <f t="shared" si="113"/>
        <v>37.001439210627893</v>
      </c>
      <c r="BA96" s="4">
        <f t="shared" si="114"/>
        <v>-3.0141625095086881E-2</v>
      </c>
      <c r="BB96" s="4">
        <f t="shared" si="115"/>
        <v>-3.0118042399591221</v>
      </c>
      <c r="BC96" s="4">
        <f t="shared" si="116"/>
        <v>-0.97453313671238184</v>
      </c>
      <c r="BD96" s="4">
        <f t="shared" si="117"/>
        <v>20.174184212701284</v>
      </c>
      <c r="BE96" s="4">
        <f t="shared" si="118"/>
        <v>33.038487926271422</v>
      </c>
      <c r="BF96" s="4">
        <f t="shared" si="119"/>
        <v>-13.525200167149361</v>
      </c>
      <c r="BG96" s="4">
        <f t="shared" si="120"/>
        <v>-13.101644466013639</v>
      </c>
      <c r="BH96" s="4">
        <f t="shared" si="121"/>
        <v>-128.42175349967093</v>
      </c>
      <c r="BI96" s="4">
        <f t="shared" si="122"/>
        <v>-9.5991256950871513</v>
      </c>
      <c r="BJ96" s="4">
        <f t="shared" si="123"/>
        <v>-146.76576287570464</v>
      </c>
      <c r="BK96" s="4">
        <f t="shared" si="124"/>
        <v>1.656126038315572E-2</v>
      </c>
      <c r="BL96" s="4">
        <f t="shared" si="125"/>
        <v>2.0144650810544804</v>
      </c>
      <c r="BM96" s="4">
        <f t="shared" si="126"/>
        <v>2.7033959871522004</v>
      </c>
      <c r="BN96" s="4">
        <f t="shared" si="127"/>
        <v>-9.031836793149262</v>
      </c>
      <c r="BO96" s="4">
        <f t="shared" si="128"/>
        <v>-53.881132906599419</v>
      </c>
      <c r="BP96" s="4">
        <f t="shared" si="129"/>
        <v>-20.206523449517981</v>
      </c>
      <c r="BQ96" s="4">
        <f t="shared" si="130"/>
        <v>-22.656977474616617</v>
      </c>
      <c r="BR96" s="4">
        <f t="shared" si="131"/>
        <v>74.680694425939706</v>
      </c>
      <c r="BS96" s="4">
        <f t="shared" si="132"/>
        <v>376.14324149993138</v>
      </c>
      <c r="BT96" s="4">
        <f t="shared" si="133"/>
        <v>912.51169174826009</v>
      </c>
      <c r="BU96" s="4">
        <f t="shared" si="134"/>
        <v>16.880140481015484</v>
      </c>
      <c r="BV96" s="4">
        <f t="shared" si="135"/>
        <v>159.03625698568104</v>
      </c>
      <c r="BW96" s="4">
        <f t="shared" si="136"/>
        <v>-496.15489665003565</v>
      </c>
      <c r="BX96" s="4">
        <f t="shared" si="137"/>
        <v>-1670.572902775134</v>
      </c>
      <c r="BY96" s="4">
        <f t="shared" si="138"/>
        <v>-2922.4634139764826</v>
      </c>
      <c r="BZ96" s="6">
        <f t="shared" si="139"/>
        <v>-1.0766843855822117</v>
      </c>
      <c r="CA96" s="7"/>
      <c r="CB96" s="6">
        <v>-1.076681427129188</v>
      </c>
      <c r="CC96" s="6"/>
    </row>
    <row r="97" spans="1:81" x14ac:dyDescent="0.3">
      <c r="A97" s="4">
        <v>95</v>
      </c>
      <c r="B97" s="4">
        <v>44446343</v>
      </c>
      <c r="C97" s="4">
        <v>16.030999999999999</v>
      </c>
      <c r="D97" s="4">
        <v>7.3280000000000003</v>
      </c>
      <c r="E97" s="4">
        <v>0.82399999999999995</v>
      </c>
      <c r="F97" s="4">
        <v>2.9390000000000001</v>
      </c>
      <c r="H97" s="6">
        <v>-2618.81325553337</v>
      </c>
      <c r="I97" s="4">
        <f t="shared" si="70"/>
        <v>744.04363046509991</v>
      </c>
      <c r="J97" s="4">
        <f t="shared" si="71"/>
        <v>-3606.315896608</v>
      </c>
      <c r="K97" s="4">
        <f t="shared" si="72"/>
        <v>1951.9131183999998</v>
      </c>
      <c r="L97" s="4">
        <f t="shared" si="73"/>
        <v>9497.3964866799997</v>
      </c>
      <c r="M97" s="4">
        <f t="shared" si="74"/>
        <v>992.98503302368795</v>
      </c>
      <c r="N97" s="4">
        <f t="shared" si="75"/>
        <v>297.17849138507933</v>
      </c>
      <c r="O97" s="4">
        <f t="shared" si="76"/>
        <v>-909.21434015075181</v>
      </c>
      <c r="P97" s="4">
        <f t="shared" si="77"/>
        <v>-1806.5100774152106</v>
      </c>
      <c r="Q97" s="4">
        <f t="shared" si="78"/>
        <v>-644.44642535167998</v>
      </c>
      <c r="R97" s="4">
        <f t="shared" si="79"/>
        <v>1092.6650864593919</v>
      </c>
      <c r="S97" s="4">
        <f t="shared" si="80"/>
        <v>9112.3953672440657</v>
      </c>
      <c r="T97" s="4">
        <f t="shared" si="81"/>
        <v>-281.82306125657595</v>
      </c>
      <c r="U97" s="4">
        <f t="shared" si="82"/>
        <v>-4979.12629277816</v>
      </c>
      <c r="V97" s="4">
        <f t="shared" si="83"/>
        <v>-12841.679943941701</v>
      </c>
      <c r="W97" s="4">
        <f t="shared" si="84"/>
        <v>-149.08505941162895</v>
      </c>
      <c r="X97" s="4">
        <f t="shared" si="85"/>
        <v>249.88440429104324</v>
      </c>
      <c r="Y97" s="4">
        <f t="shared" si="86"/>
        <v>125.9534872165779</v>
      </c>
      <c r="Z97" s="4">
        <f t="shared" si="87"/>
        <v>-1980.9100827042173</v>
      </c>
      <c r="AA97" s="4">
        <f t="shared" si="88"/>
        <v>200.00999104859761</v>
      </c>
      <c r="AB97" s="4">
        <f t="shared" si="89"/>
        <v>-1043.0910626422381</v>
      </c>
      <c r="AC97" s="4">
        <f t="shared" si="90"/>
        <v>11.982879581352954</v>
      </c>
      <c r="AD97" s="4">
        <f t="shared" si="91"/>
        <v>893.06617590494591</v>
      </c>
      <c r="AE97" s="4">
        <f t="shared" si="92"/>
        <v>772.89765145002445</v>
      </c>
      <c r="AF97" s="4">
        <f t="shared" si="93"/>
        <v>1654.1301503329587</v>
      </c>
      <c r="AG97" s="4">
        <f t="shared" si="94"/>
        <v>-170.35734291050676</v>
      </c>
      <c r="AH97" s="4">
        <f t="shared" si="95"/>
        <v>699.18340364823257</v>
      </c>
      <c r="AI97" s="4">
        <f t="shared" si="96"/>
        <v>760.74758042205121</v>
      </c>
      <c r="AJ97" s="4">
        <f t="shared" si="97"/>
        <v>-73.149977895683676</v>
      </c>
      <c r="AK97" s="4">
        <f t="shared" si="98"/>
        <v>-2203.4033445750565</v>
      </c>
      <c r="AL97" s="4">
        <f t="shared" si="99"/>
        <v>-7381.203459057393</v>
      </c>
      <c r="AM97" s="4">
        <f t="shared" si="100"/>
        <v>-168.41307865378607</v>
      </c>
      <c r="AN97" s="4">
        <f t="shared" si="101"/>
        <v>645.2961429157325</v>
      </c>
      <c r="AO97" s="4">
        <f t="shared" si="102"/>
        <v>4254.7215626558682</v>
      </c>
      <c r="AP97" s="4">
        <f t="shared" si="103"/>
        <v>7602.621087313295</v>
      </c>
      <c r="AQ97" s="4">
        <f t="shared" si="104"/>
        <v>4.8740595022330453</v>
      </c>
      <c r="AR97" s="4">
        <f t="shared" si="105"/>
        <v>-41.377093271428066</v>
      </c>
      <c r="AS97" s="4">
        <f t="shared" si="106"/>
        <v>1.1138236964900172</v>
      </c>
      <c r="AT97" s="4">
        <f t="shared" si="107"/>
        <v>160.73166813474398</v>
      </c>
      <c r="AU97" s="4">
        <f t="shared" si="108"/>
        <v>56.162156442852172</v>
      </c>
      <c r="AV97" s="4">
        <f t="shared" si="109"/>
        <v>-0.46505290939067473</v>
      </c>
      <c r="AW97" s="4">
        <f t="shared" si="110"/>
        <v>-268.6858272173929</v>
      </c>
      <c r="AX97" s="4">
        <f t="shared" si="111"/>
        <v>-225.90447484809471</v>
      </c>
      <c r="AY97" s="4">
        <f t="shared" si="112"/>
        <v>245.56726054573338</v>
      </c>
      <c r="AZ97" s="4">
        <f t="shared" si="113"/>
        <v>840.07466065179108</v>
      </c>
      <c r="BA97" s="4">
        <f t="shared" si="114"/>
        <v>-5.4543730118868385</v>
      </c>
      <c r="BB97" s="4">
        <f t="shared" si="115"/>
        <v>-180.45592490592003</v>
      </c>
      <c r="BC97" s="4">
        <f t="shared" si="116"/>
        <v>-47.757848949298541</v>
      </c>
      <c r="BD97" s="4">
        <f t="shared" si="117"/>
        <v>400.22721952500035</v>
      </c>
      <c r="BE97" s="4">
        <f t="shared" si="118"/>
        <v>536.08609624046551</v>
      </c>
      <c r="BF97" s="4">
        <f t="shared" si="119"/>
        <v>-179.49891318001355</v>
      </c>
      <c r="BG97" s="4">
        <f t="shared" si="120"/>
        <v>-86.060265945841721</v>
      </c>
      <c r="BH97" s="4">
        <f t="shared" si="121"/>
        <v>-689.95252867972795</v>
      </c>
      <c r="BI97" s="4">
        <f t="shared" si="122"/>
        <v>-42.180918746850686</v>
      </c>
      <c r="BJ97" s="4">
        <f t="shared" si="123"/>
        <v>-527.48832769849798</v>
      </c>
      <c r="BK97" s="4">
        <f t="shared" si="124"/>
        <v>1.7518237519912254</v>
      </c>
      <c r="BL97" s="4">
        <f t="shared" si="125"/>
        <v>70.55422128804652</v>
      </c>
      <c r="BM97" s="4">
        <f t="shared" si="126"/>
        <v>77.442018693296959</v>
      </c>
      <c r="BN97" s="4">
        <f t="shared" si="127"/>
        <v>-104.73831301777034</v>
      </c>
      <c r="BO97" s="4">
        <f t="shared" si="128"/>
        <v>-511.05772023194345</v>
      </c>
      <c r="BP97" s="4">
        <f t="shared" si="129"/>
        <v>-156.7575889593258</v>
      </c>
      <c r="BQ97" s="4">
        <f t="shared" si="130"/>
        <v>-86.995682672422447</v>
      </c>
      <c r="BR97" s="4">
        <f t="shared" si="131"/>
        <v>234.53508326175489</v>
      </c>
      <c r="BS97" s="4">
        <f t="shared" si="132"/>
        <v>966.17650645215076</v>
      </c>
      <c r="BT97" s="4">
        <f t="shared" si="133"/>
        <v>1917.1027449583426</v>
      </c>
      <c r="BU97" s="4">
        <f t="shared" si="134"/>
        <v>21.460410172562636</v>
      </c>
      <c r="BV97" s="4">
        <f t="shared" si="135"/>
        <v>165.37195051608646</v>
      </c>
      <c r="BW97" s="4">
        <f t="shared" si="136"/>
        <v>-421.97500416417722</v>
      </c>
      <c r="BX97" s="4">
        <f t="shared" si="137"/>
        <v>-1162.0869342467306</v>
      </c>
      <c r="BY97" s="4">
        <f t="shared" si="138"/>
        <v>-1662.7463754293303</v>
      </c>
      <c r="BZ97" s="6">
        <f t="shared" si="139"/>
        <v>-0.8784347004564097</v>
      </c>
      <c r="CA97" s="7"/>
      <c r="CB97" s="6">
        <v>-0.87844180814863648</v>
      </c>
      <c r="CC97" s="6"/>
    </row>
    <row r="98" spans="1:81" x14ac:dyDescent="0.3">
      <c r="A98" s="4">
        <v>96</v>
      </c>
      <c r="B98" s="4">
        <v>15248628</v>
      </c>
      <c r="C98" s="4">
        <v>4.3819999999999997</v>
      </c>
      <c r="D98" s="4">
        <v>3.492</v>
      </c>
      <c r="E98" s="4">
        <v>0.55500000000000005</v>
      </c>
      <c r="F98" s="4">
        <v>3.4769999999999999</v>
      </c>
      <c r="H98" s="6">
        <v>-2618.81325553337</v>
      </c>
      <c r="I98" s="4">
        <f t="shared" si="70"/>
        <v>203.38089880219999</v>
      </c>
      <c r="J98" s="4">
        <f t="shared" si="71"/>
        <v>-1718.5118874120001</v>
      </c>
      <c r="K98" s="4">
        <f t="shared" si="72"/>
        <v>1314.6987630000001</v>
      </c>
      <c r="L98" s="4">
        <f t="shared" si="73"/>
        <v>11235.946779239999</v>
      </c>
      <c r="M98" s="4">
        <f t="shared" si="74"/>
        <v>74.193561812217681</v>
      </c>
      <c r="N98" s="4">
        <f t="shared" si="75"/>
        <v>38.709530793596869</v>
      </c>
      <c r="O98" s="4">
        <f t="shared" si="76"/>
        <v>-167.39551095708001</v>
      </c>
      <c r="P98" s="4">
        <f t="shared" si="77"/>
        <v>-584.19421533450588</v>
      </c>
      <c r="Q98" s="4">
        <f t="shared" si="78"/>
        <v>-146.34044381627999</v>
      </c>
      <c r="R98" s="4">
        <f t="shared" si="79"/>
        <v>350.70472106316004</v>
      </c>
      <c r="S98" s="4">
        <f t="shared" si="80"/>
        <v>5137.1995231340279</v>
      </c>
      <c r="T98" s="4">
        <f t="shared" si="81"/>
        <v>-127.85216037615001</v>
      </c>
      <c r="U98" s="4">
        <f t="shared" si="82"/>
        <v>-3967.5647042428504</v>
      </c>
      <c r="V98" s="4">
        <f t="shared" si="83"/>
        <v>-17973.474958383296</v>
      </c>
      <c r="W98" s="4">
        <f t="shared" si="84"/>
        <v>-3.0448745206682415</v>
      </c>
      <c r="X98" s="4">
        <f t="shared" si="85"/>
        <v>8.897160898084838</v>
      </c>
      <c r="Y98" s="4">
        <f t="shared" si="86"/>
        <v>6.3386896069961294</v>
      </c>
      <c r="Z98" s="4">
        <f t="shared" si="87"/>
        <v>-175.10291877419957</v>
      </c>
      <c r="AA98" s="4">
        <f t="shared" si="88"/>
        <v>12.414836324946387</v>
      </c>
      <c r="AB98" s="4">
        <f t="shared" si="89"/>
        <v>-91.514208783741665</v>
      </c>
      <c r="AC98" s="4">
        <f t="shared" si="90"/>
        <v>1.8465744964699513</v>
      </c>
      <c r="AD98" s="4">
        <f t="shared" si="91"/>
        <v>110.74571798962583</v>
      </c>
      <c r="AE98" s="4">
        <f t="shared" si="92"/>
        <v>168.34670588939849</v>
      </c>
      <c r="AF98" s="4">
        <f t="shared" si="93"/>
        <v>632.83668378847722</v>
      </c>
      <c r="AG98" s="4">
        <f t="shared" si="94"/>
        <v>-18.434322492176371</v>
      </c>
      <c r="AH98" s="4">
        <f t="shared" si="95"/>
        <v>106.93858448586801</v>
      </c>
      <c r="AI98" s="4">
        <f t="shared" si="96"/>
        <v>204.37286498808896</v>
      </c>
      <c r="AJ98" s="4">
        <f t="shared" si="97"/>
        <v>-15.813737172221041</v>
      </c>
      <c r="AK98" s="4">
        <f t="shared" si="98"/>
        <v>-836.66895528281543</v>
      </c>
      <c r="AL98" s="4">
        <f t="shared" si="99"/>
        <v>-4922.9583351445854</v>
      </c>
      <c r="AM98" s="4">
        <f t="shared" si="100"/>
        <v>-51.460396637953508</v>
      </c>
      <c r="AN98" s="4">
        <f t="shared" si="101"/>
        <v>346.3344688098652</v>
      </c>
      <c r="AO98" s="4">
        <f t="shared" si="102"/>
        <v>4010.9488617904444</v>
      </c>
      <c r="AP98" s="4">
        <f t="shared" si="103"/>
        <v>12588.635525114352</v>
      </c>
      <c r="AQ98" s="4">
        <f t="shared" si="104"/>
        <v>2.721058402181482E-2</v>
      </c>
      <c r="AR98" s="4">
        <f t="shared" si="105"/>
        <v>-0.40270222581275056</v>
      </c>
      <c r="AS98" s="4">
        <f t="shared" si="106"/>
        <v>1.5322072111989903E-2</v>
      </c>
      <c r="AT98" s="4">
        <f t="shared" si="107"/>
        <v>3.8836656508314338</v>
      </c>
      <c r="AU98" s="4">
        <f t="shared" si="108"/>
        <v>0.95289454747398583</v>
      </c>
      <c r="AV98" s="4">
        <f t="shared" si="109"/>
        <v>-1.1152710517737091E-2</v>
      </c>
      <c r="AW98" s="4">
        <f t="shared" si="110"/>
        <v>-11.317803667083746</v>
      </c>
      <c r="AX98" s="4">
        <f t="shared" si="111"/>
        <v>-7.657374625821932</v>
      </c>
      <c r="AY98" s="4">
        <f t="shared" si="112"/>
        <v>14.620588692819968</v>
      </c>
      <c r="AZ98" s="4">
        <f t="shared" si="113"/>
        <v>87.851991853729842</v>
      </c>
      <c r="BA98" s="4">
        <f t="shared" si="114"/>
        <v>-0.16133289138587559</v>
      </c>
      <c r="BB98" s="4">
        <f t="shared" si="115"/>
        <v>-7.5444263822659625</v>
      </c>
      <c r="BC98" s="4">
        <f t="shared" si="116"/>
        <v>-3.5070274894738049</v>
      </c>
      <c r="BD98" s="4">
        <f t="shared" si="117"/>
        <v>23.650411311347337</v>
      </c>
      <c r="BE98" s="4">
        <f t="shared" si="118"/>
        <v>55.64241270997492</v>
      </c>
      <c r="BF98" s="4">
        <f t="shared" si="119"/>
        <v>-32.724465822919122</v>
      </c>
      <c r="BG98" s="4">
        <f t="shared" si="120"/>
        <v>-7.188061052964259</v>
      </c>
      <c r="BH98" s="4">
        <f t="shared" si="121"/>
        <v>-101.22029932340176</v>
      </c>
      <c r="BI98" s="4">
        <f t="shared" si="122"/>
        <v>-10.869355033948622</v>
      </c>
      <c r="BJ98" s="4">
        <f t="shared" si="123"/>
        <v>-238.74810156098206</v>
      </c>
      <c r="BK98" s="4">
        <f t="shared" si="124"/>
        <v>9.0332807456472597E-2</v>
      </c>
      <c r="BL98" s="4">
        <f t="shared" si="125"/>
        <v>5.1422726222318396</v>
      </c>
      <c r="BM98" s="4">
        <f t="shared" si="126"/>
        <v>9.9139812454332752</v>
      </c>
      <c r="BN98" s="4">
        <f t="shared" si="127"/>
        <v>-10.789831590526836</v>
      </c>
      <c r="BO98" s="4">
        <f t="shared" si="128"/>
        <v>-92.473730529232014</v>
      </c>
      <c r="BP98" s="4">
        <f t="shared" si="129"/>
        <v>-49.821446560122766</v>
      </c>
      <c r="BQ98" s="4">
        <f t="shared" si="130"/>
        <v>-12.667292213114553</v>
      </c>
      <c r="BR98" s="4">
        <f t="shared" si="131"/>
        <v>59.983698243030823</v>
      </c>
      <c r="BS98" s="4">
        <f t="shared" si="132"/>
        <v>434.03147826573377</v>
      </c>
      <c r="BT98" s="4">
        <f t="shared" si="133"/>
        <v>1512.6884024120272</v>
      </c>
      <c r="BU98" s="4">
        <f t="shared" si="134"/>
        <v>4.4167325724683071</v>
      </c>
      <c r="BV98" s="4">
        <f t="shared" si="135"/>
        <v>59.781150339501671</v>
      </c>
      <c r="BW98" s="4">
        <f t="shared" si="136"/>
        <v>-267.93440130382731</v>
      </c>
      <c r="BX98" s="4">
        <f t="shared" si="137"/>
        <v>-1296.0438737522752</v>
      </c>
      <c r="BY98" s="4">
        <f t="shared" si="138"/>
        <v>-3257.2150159216189</v>
      </c>
      <c r="BZ98" s="6">
        <f t="shared" si="139"/>
        <v>-1.2595815631711957</v>
      </c>
      <c r="CA98" s="7"/>
      <c r="CB98" s="6">
        <v>-1.2595798860797911</v>
      </c>
      <c r="CC98" s="6"/>
    </row>
    <row r="99" spans="1:81" x14ac:dyDescent="0.3">
      <c r="A99" s="4">
        <v>97</v>
      </c>
      <c r="B99" s="4">
        <v>60168016</v>
      </c>
      <c r="C99" s="4">
        <v>2.4910000000000001</v>
      </c>
      <c r="D99" s="4">
        <v>6.6070000000000002</v>
      </c>
      <c r="E99" s="4">
        <v>0.72499999999999998</v>
      </c>
      <c r="F99" s="4">
        <v>3.3140000000000001</v>
      </c>
      <c r="H99" s="6">
        <v>-2618.81325553337</v>
      </c>
      <c r="I99" s="4">
        <f t="shared" si="70"/>
        <v>115.61429003110001</v>
      </c>
      <c r="J99" s="4">
        <f t="shared" si="71"/>
        <v>-3251.4914204270003</v>
      </c>
      <c r="K99" s="4">
        <f t="shared" si="72"/>
        <v>1717.399285</v>
      </c>
      <c r="L99" s="4">
        <f t="shared" si="73"/>
        <v>10709.21128168</v>
      </c>
      <c r="M99" s="4">
        <f t="shared" si="74"/>
        <v>23.975569360826423</v>
      </c>
      <c r="N99" s="4">
        <f t="shared" si="75"/>
        <v>41.634114597050988</v>
      </c>
      <c r="O99" s="4">
        <f t="shared" si="76"/>
        <v>-124.3054542953</v>
      </c>
      <c r="P99" s="4">
        <f t="shared" si="77"/>
        <v>-316.52383573634597</v>
      </c>
      <c r="Q99" s="4">
        <f t="shared" si="78"/>
        <v>-523.87118521991761</v>
      </c>
      <c r="R99" s="4">
        <f t="shared" si="79"/>
        <v>866.7956186839499</v>
      </c>
      <c r="S99" s="4">
        <f t="shared" si="80"/>
        <v>9264.1231318764676</v>
      </c>
      <c r="T99" s="4">
        <f t="shared" si="81"/>
        <v>-218.17155035375001</v>
      </c>
      <c r="U99" s="4">
        <f t="shared" si="82"/>
        <v>-4939.8851845715008</v>
      </c>
      <c r="V99" s="4">
        <f t="shared" si="83"/>
        <v>-16327.8002132292</v>
      </c>
      <c r="W99" s="4">
        <f t="shared" si="84"/>
        <v>-0.55933688955075789</v>
      </c>
      <c r="X99" s="4">
        <f t="shared" si="85"/>
        <v>5.4398161857644682</v>
      </c>
      <c r="Y99" s="4">
        <f t="shared" si="86"/>
        <v>2.6757603737216464</v>
      </c>
      <c r="Z99" s="4">
        <f t="shared" si="87"/>
        <v>-53.931674831884351</v>
      </c>
      <c r="AA99" s="4">
        <f t="shared" si="88"/>
        <v>25.264022306968869</v>
      </c>
      <c r="AB99" s="4">
        <f t="shared" si="89"/>
        <v>-128.57750043572105</v>
      </c>
      <c r="AC99" s="4">
        <f t="shared" si="90"/>
        <v>1.8929802052205813</v>
      </c>
      <c r="AD99" s="4">
        <f t="shared" si="91"/>
        <v>107.42821120570014</v>
      </c>
      <c r="AE99" s="4">
        <f t="shared" si="92"/>
        <v>119.15130792006606</v>
      </c>
      <c r="AF99" s="4">
        <f t="shared" si="93"/>
        <v>326.80495087450873</v>
      </c>
      <c r="AG99" s="4">
        <f t="shared" si="94"/>
        <v>-124.85829385196014</v>
      </c>
      <c r="AH99" s="4">
        <f t="shared" si="95"/>
        <v>500.08012928673054</v>
      </c>
      <c r="AI99" s="4">
        <f t="shared" si="96"/>
        <v>697.31850445933696</v>
      </c>
      <c r="AJ99" s="4">
        <f t="shared" si="97"/>
        <v>-51.056922657578497</v>
      </c>
      <c r="AK99" s="4">
        <f t="shared" si="98"/>
        <v>-1970.9543400597026</v>
      </c>
      <c r="AL99" s="4">
        <f t="shared" si="99"/>
        <v>-8461.5876750982516</v>
      </c>
      <c r="AM99" s="4">
        <f t="shared" si="100"/>
        <v>-114.71182775206249</v>
      </c>
      <c r="AN99" s="4">
        <f t="shared" si="101"/>
        <v>563.29199178178374</v>
      </c>
      <c r="AO99" s="4">
        <f t="shared" si="102"/>
        <v>4759.7898127395301</v>
      </c>
      <c r="AP99" s="4">
        <f t="shared" si="103"/>
        <v>10899.889618571864</v>
      </c>
      <c r="AQ99" s="4">
        <f t="shared" si="104"/>
        <v>2.8414713428671682E-3</v>
      </c>
      <c r="AR99" s="4">
        <f t="shared" si="105"/>
        <v>-0.139964586278328</v>
      </c>
      <c r="AS99" s="4">
        <f t="shared" si="106"/>
        <v>3.6767710573529814E-3</v>
      </c>
      <c r="AT99" s="4">
        <f t="shared" si="107"/>
        <v>0.67997619709452428</v>
      </c>
      <c r="AU99" s="4">
        <f t="shared" si="108"/>
        <v>1.1023200176069616</v>
      </c>
      <c r="AV99" s="4">
        <f t="shared" si="109"/>
        <v>-8.9075492765922585E-3</v>
      </c>
      <c r="AW99" s="4">
        <f t="shared" si="110"/>
        <v>-6.5954244461018563</v>
      </c>
      <c r="AX99" s="4">
        <f t="shared" si="111"/>
        <v>-4.2225290913990863</v>
      </c>
      <c r="AY99" s="4">
        <f t="shared" si="112"/>
        <v>5.882479266922739</v>
      </c>
      <c r="AZ99" s="4">
        <f t="shared" si="113"/>
        <v>25.789917214307078</v>
      </c>
      <c r="BA99" s="4">
        <f t="shared" si="114"/>
        <v>-0.62117574121252883</v>
      </c>
      <c r="BB99" s="4">
        <f t="shared" si="115"/>
        <v>-20.055465487089258</v>
      </c>
      <c r="BC99" s="4">
        <f t="shared" si="116"/>
        <v>-6.8021856578655608</v>
      </c>
      <c r="BD99" s="4">
        <f t="shared" si="117"/>
        <v>43.407039949981069</v>
      </c>
      <c r="BE99" s="4">
        <f t="shared" si="118"/>
        <v>74.512685514083643</v>
      </c>
      <c r="BF99" s="4">
        <f t="shared" si="119"/>
        <v>-31.974194979436284</v>
      </c>
      <c r="BG99" s="4">
        <f t="shared" si="120"/>
        <v>-9.1085276676807574</v>
      </c>
      <c r="BH99" s="4">
        <f t="shared" si="121"/>
        <v>-93.585126527876071</v>
      </c>
      <c r="BI99" s="4">
        <f t="shared" si="122"/>
        <v>-7.3323937614401142</v>
      </c>
      <c r="BJ99" s="4">
        <f t="shared" si="123"/>
        <v>-117.51267743110928</v>
      </c>
      <c r="BK99" s="4">
        <f t="shared" si="124"/>
        <v>1.1576193964958557</v>
      </c>
      <c r="BL99" s="4">
        <f t="shared" si="125"/>
        <v>45.497793599959856</v>
      </c>
      <c r="BM99" s="4">
        <f t="shared" si="126"/>
        <v>64.000905971291331</v>
      </c>
      <c r="BN99" s="4">
        <f t="shared" si="127"/>
        <v>-65.91205566736744</v>
      </c>
      <c r="BO99" s="4">
        <f t="shared" si="128"/>
        <v>-412.16523597274704</v>
      </c>
      <c r="BP99" s="4">
        <f t="shared" si="129"/>
        <v>-162.02129662521617</v>
      </c>
      <c r="BQ99" s="4">
        <f t="shared" si="130"/>
        <v>-53.425541319515723</v>
      </c>
      <c r="BR99" s="4">
        <f t="shared" si="131"/>
        <v>184.58702502415593</v>
      </c>
      <c r="BS99" s="4">
        <f t="shared" si="132"/>
        <v>974.52267807235091</v>
      </c>
      <c r="BT99" s="4">
        <f t="shared" si="133"/>
        <v>2478.1237458433566</v>
      </c>
      <c r="BU99" s="4">
        <f t="shared" si="134"/>
        <v>12.861191294265938</v>
      </c>
      <c r="BV99" s="4">
        <f t="shared" si="135"/>
        <v>127.01270093955812</v>
      </c>
      <c r="BW99" s="4">
        <f t="shared" si="136"/>
        <v>-415.34993985059651</v>
      </c>
      <c r="BX99" s="4">
        <f t="shared" si="137"/>
        <v>-1465.9129018697292</v>
      </c>
      <c r="BY99" s="4">
        <f t="shared" si="138"/>
        <v>-2688.0520991176577</v>
      </c>
      <c r="BZ99" s="6">
        <f t="shared" si="139"/>
        <v>-0.97232060826945599</v>
      </c>
      <c r="CA99" s="7"/>
      <c r="CB99" s="6">
        <v>-0.97232355609821752</v>
      </c>
      <c r="CC99" s="6"/>
    </row>
    <row r="100" spans="1:81" x14ac:dyDescent="0.3">
      <c r="A100" s="4">
        <v>98</v>
      </c>
      <c r="B100" s="4">
        <v>46225043</v>
      </c>
      <c r="C100" s="4">
        <v>6.048</v>
      </c>
      <c r="D100" s="4">
        <v>4.4829999999999997</v>
      </c>
      <c r="E100" s="4">
        <v>0.53400000000000003</v>
      </c>
      <c r="F100" s="4">
        <v>3.6059999999999999</v>
      </c>
      <c r="H100" s="6">
        <v>-2618.81325553337</v>
      </c>
      <c r="I100" s="4">
        <f t="shared" si="70"/>
        <v>280.7046271008</v>
      </c>
      <c r="J100" s="4">
        <f t="shared" si="71"/>
        <v>-2206.2109940629998</v>
      </c>
      <c r="K100" s="4">
        <f t="shared" si="72"/>
        <v>1264.9534044</v>
      </c>
      <c r="L100" s="4">
        <f t="shared" si="73"/>
        <v>11652.811068719999</v>
      </c>
      <c r="M100" s="4">
        <f t="shared" si="74"/>
        <v>141.3334756876493</v>
      </c>
      <c r="N100" s="4">
        <f t="shared" si="75"/>
        <v>68.588581356751675</v>
      </c>
      <c r="O100" s="4">
        <f t="shared" si="76"/>
        <v>-222.29591936025599</v>
      </c>
      <c r="P100" s="4">
        <f t="shared" si="77"/>
        <v>-836.21449864915189</v>
      </c>
      <c r="Q100" s="4">
        <f t="shared" si="78"/>
        <v>-241.18671115421745</v>
      </c>
      <c r="R100" s="4">
        <f t="shared" si="79"/>
        <v>433.19595227029197</v>
      </c>
      <c r="S100" s="4">
        <f t="shared" si="80"/>
        <v>6839.7774194031654</v>
      </c>
      <c r="T100" s="4">
        <f t="shared" si="81"/>
        <v>-118.359907943256</v>
      </c>
      <c r="U100" s="4">
        <f t="shared" si="82"/>
        <v>-3959.0713049972405</v>
      </c>
      <c r="V100" s="4">
        <f t="shared" si="83"/>
        <v>-19331.881053757199</v>
      </c>
      <c r="W100" s="4">
        <f t="shared" si="84"/>
        <v>-8.0054846266171413</v>
      </c>
      <c r="X100" s="4">
        <f t="shared" si="85"/>
        <v>21.758290302318088</v>
      </c>
      <c r="Y100" s="4">
        <f t="shared" si="86"/>
        <v>11.617871755928096</v>
      </c>
      <c r="Z100" s="4">
        <f t="shared" si="87"/>
        <v>-345.93398965082736</v>
      </c>
      <c r="AA100" s="4">
        <f t="shared" si="88"/>
        <v>28.240307102940939</v>
      </c>
      <c r="AB100" s="4">
        <f t="shared" si="89"/>
        <v>-156.01656657322107</v>
      </c>
      <c r="AC100" s="4">
        <f t="shared" si="90"/>
        <v>3.3932962558978943</v>
      </c>
      <c r="AD100" s="4">
        <f t="shared" si="91"/>
        <v>141.50210489542633</v>
      </c>
      <c r="AE100" s="4">
        <f t="shared" si="92"/>
        <v>231.85332990340333</v>
      </c>
      <c r="AF100" s="4">
        <f t="shared" si="93"/>
        <v>939.4488059006801</v>
      </c>
      <c r="AG100" s="4">
        <f t="shared" si="94"/>
        <v>-39.004138716236234</v>
      </c>
      <c r="AH100" s="4">
        <f t="shared" si="95"/>
        <v>169.57886053414725</v>
      </c>
      <c r="AI100" s="4">
        <f t="shared" si="96"/>
        <v>349.32789949206978</v>
      </c>
      <c r="AJ100" s="4">
        <f t="shared" si="97"/>
        <v>-18.79427460546642</v>
      </c>
      <c r="AK100" s="4">
        <f t="shared" si="98"/>
        <v>-1071.8091595949127</v>
      </c>
      <c r="AL100" s="4">
        <f t="shared" si="99"/>
        <v>-6797.7114777053421</v>
      </c>
      <c r="AM100" s="4">
        <f t="shared" si="100"/>
        <v>-45.837186324157159</v>
      </c>
      <c r="AN100" s="4">
        <f t="shared" si="101"/>
        <v>332.51657323656042</v>
      </c>
      <c r="AO100" s="4">
        <f t="shared" si="102"/>
        <v>4150.8540404094883</v>
      </c>
      <c r="AP100" s="4">
        <f t="shared" si="103"/>
        <v>14042.413419170438</v>
      </c>
      <c r="AQ100" s="4">
        <f t="shared" si="104"/>
        <v>9.8740540509096184E-2</v>
      </c>
      <c r="AR100" s="4">
        <f t="shared" si="105"/>
        <v>-1.3592419251914518</v>
      </c>
      <c r="AS100" s="4">
        <f t="shared" si="106"/>
        <v>3.8760021000993558E-2</v>
      </c>
      <c r="AT100" s="4">
        <f t="shared" si="107"/>
        <v>10.589637492052637</v>
      </c>
      <c r="AU100" s="4">
        <f t="shared" si="108"/>
        <v>2.9916629851700121</v>
      </c>
      <c r="AV100" s="4">
        <f t="shared" si="109"/>
        <v>-2.6242307853489008E-2</v>
      </c>
      <c r="AW100" s="4">
        <f t="shared" si="110"/>
        <v>-28.70493117546761</v>
      </c>
      <c r="AX100" s="4">
        <f t="shared" si="111"/>
        <v>-13.503777116197099</v>
      </c>
      <c r="AY100" s="4">
        <f t="shared" si="112"/>
        <v>27.791563742841003</v>
      </c>
      <c r="AZ100" s="4">
        <f t="shared" si="113"/>
        <v>179.99999563568511</v>
      </c>
      <c r="BA100" s="4">
        <f t="shared" si="114"/>
        <v>-0.47113550922251229</v>
      </c>
      <c r="BB100" s="4">
        <f t="shared" si="115"/>
        <v>-16.512123033563785</v>
      </c>
      <c r="BC100" s="4">
        <f t="shared" si="116"/>
        <v>-8.2734875689702356</v>
      </c>
      <c r="BD100" s="4">
        <f t="shared" si="117"/>
        <v>38.794410683928248</v>
      </c>
      <c r="BE100" s="4">
        <f t="shared" si="118"/>
        <v>98.380533170375202</v>
      </c>
      <c r="BF100" s="4">
        <f t="shared" si="119"/>
        <v>-62.366093659987449</v>
      </c>
      <c r="BG100" s="4">
        <f t="shared" si="120"/>
        <v>-8.8368195806056686</v>
      </c>
      <c r="BH100" s="4">
        <f t="shared" si="121"/>
        <v>-134.12959277002011</v>
      </c>
      <c r="BI100" s="4">
        <f t="shared" si="122"/>
        <v>-15.525068364152485</v>
      </c>
      <c r="BJ100" s="4">
        <f t="shared" si="123"/>
        <v>-367.57200841431381</v>
      </c>
      <c r="BK100" s="4">
        <f t="shared" si="124"/>
        <v>0.24537116404991133</v>
      </c>
      <c r="BL100" s="4">
        <f t="shared" si="125"/>
        <v>10.468558464762888</v>
      </c>
      <c r="BM100" s="4">
        <f t="shared" si="126"/>
        <v>21.754676832782042</v>
      </c>
      <c r="BN100" s="4">
        <f t="shared" si="127"/>
        <v>-16.462668066137411</v>
      </c>
      <c r="BO100" s="4">
        <f t="shared" si="128"/>
        <v>-152.08160644270615</v>
      </c>
      <c r="BP100" s="4">
        <f t="shared" si="129"/>
        <v>-88.317629568716612</v>
      </c>
      <c r="BQ100" s="4">
        <f t="shared" si="130"/>
        <v>-14.485153928577001</v>
      </c>
      <c r="BR100" s="4">
        <f t="shared" si="131"/>
        <v>73.934190409528455</v>
      </c>
      <c r="BS100" s="4">
        <f t="shared" si="132"/>
        <v>576.64173163925057</v>
      </c>
      <c r="BT100" s="4">
        <f t="shared" si="133"/>
        <v>2166.2425202942177</v>
      </c>
      <c r="BU100" s="4">
        <f t="shared" si="134"/>
        <v>3.7852467888594017</v>
      </c>
      <c r="BV100" s="4">
        <f t="shared" si="135"/>
        <v>55.224287471954199</v>
      </c>
      <c r="BW100" s="4">
        <f t="shared" si="136"/>
        <v>-266.78849028068674</v>
      </c>
      <c r="BX100" s="4">
        <f t="shared" si="137"/>
        <v>-1391.0126276939311</v>
      </c>
      <c r="BY100" s="4">
        <f t="shared" si="138"/>
        <v>-3768.1705849070895</v>
      </c>
      <c r="BZ100" s="6">
        <f t="shared" si="139"/>
        <v>-0.89399033294193941</v>
      </c>
      <c r="CA100" s="7"/>
      <c r="CB100" s="6">
        <v>-0.89399084371189019</v>
      </c>
      <c r="CC100" s="6"/>
    </row>
    <row r="101" spans="1:81" x14ac:dyDescent="0.3">
      <c r="A101" s="4">
        <v>99</v>
      </c>
      <c r="B101" s="4">
        <v>72545297</v>
      </c>
      <c r="C101" s="4">
        <v>2.1240000000000001</v>
      </c>
      <c r="D101" s="4">
        <v>2.7930000000000001</v>
      </c>
      <c r="E101" s="4">
        <v>0.42299999999999999</v>
      </c>
      <c r="F101" s="4">
        <v>3.0950000000000002</v>
      </c>
      <c r="H101" s="6">
        <v>-2618.81325553337</v>
      </c>
      <c r="I101" s="4">
        <f t="shared" si="70"/>
        <v>98.58079166040001</v>
      </c>
      <c r="J101" s="4">
        <f t="shared" si="71"/>
        <v>-1374.5142329730002</v>
      </c>
      <c r="K101" s="4">
        <f t="shared" si="72"/>
        <v>1002.0136517999999</v>
      </c>
      <c r="L101" s="4">
        <f t="shared" si="73"/>
        <v>10001.5114414</v>
      </c>
      <c r="M101" s="4">
        <f t="shared" si="74"/>
        <v>17.431328970688323</v>
      </c>
      <c r="N101" s="4">
        <f t="shared" si="75"/>
        <v>15.007098982445639</v>
      </c>
      <c r="O101" s="4">
        <f t="shared" si="76"/>
        <v>-61.840548192815994</v>
      </c>
      <c r="P101" s="4">
        <f t="shared" si="77"/>
        <v>-252.05502160062002</v>
      </c>
      <c r="Q101" s="4">
        <f t="shared" si="78"/>
        <v>-93.617657312917515</v>
      </c>
      <c r="R101" s="4">
        <f t="shared" si="79"/>
        <v>213.78916800725401</v>
      </c>
      <c r="S101" s="4">
        <f t="shared" si="80"/>
        <v>3657.4558883109457</v>
      </c>
      <c r="T101" s="4">
        <f t="shared" si="81"/>
        <v>-74.268189932453993</v>
      </c>
      <c r="U101" s="4">
        <f t="shared" si="82"/>
        <v>-2691.7044036223506</v>
      </c>
      <c r="V101" s="4">
        <f t="shared" si="83"/>
        <v>-14241.114435742502</v>
      </c>
      <c r="W101" s="4">
        <f t="shared" si="84"/>
        <v>-0.34674947932062244</v>
      </c>
      <c r="X101" s="4">
        <f t="shared" si="85"/>
        <v>1.6719081835836032</v>
      </c>
      <c r="Y101" s="4">
        <f t="shared" si="86"/>
        <v>1.1350399518770351</v>
      </c>
      <c r="Z101" s="4">
        <f t="shared" si="87"/>
        <v>-36.619602551185189</v>
      </c>
      <c r="AA101" s="4">
        <f t="shared" si="88"/>
        <v>3.8496082712581279</v>
      </c>
      <c r="AB101" s="4">
        <f t="shared" si="89"/>
        <v>-27.040502213090477</v>
      </c>
      <c r="AC101" s="4">
        <f t="shared" si="90"/>
        <v>0.63723795558885921</v>
      </c>
      <c r="AD101" s="4">
        <f t="shared" si="91"/>
        <v>31.181991642569379</v>
      </c>
      <c r="AE101" s="4">
        <f t="shared" si="92"/>
        <v>55.359238677175611</v>
      </c>
      <c r="AF101" s="4">
        <f t="shared" si="93"/>
        <v>243.04445130437745</v>
      </c>
      <c r="AG101" s="4">
        <f t="shared" si="94"/>
        <v>-9.4322929960721869</v>
      </c>
      <c r="AH101" s="4">
        <f t="shared" si="95"/>
        <v>52.14050303206804</v>
      </c>
      <c r="AI101" s="4">
        <f t="shared" si="96"/>
        <v>116.37845761551002</v>
      </c>
      <c r="AJ101" s="4">
        <f t="shared" si="97"/>
        <v>-7.347269761186773</v>
      </c>
      <c r="AK101" s="4">
        <f t="shared" si="98"/>
        <v>-453.99775189144441</v>
      </c>
      <c r="AL101" s="4">
        <f t="shared" si="99"/>
        <v>-3119.8577026041376</v>
      </c>
      <c r="AM101" s="4">
        <f t="shared" si="100"/>
        <v>-22.783229348522791</v>
      </c>
      <c r="AN101" s="4">
        <f t="shared" si="101"/>
        <v>179.07973699059758</v>
      </c>
      <c r="AO101" s="4">
        <f t="shared" si="102"/>
        <v>2422.1801153505794</v>
      </c>
      <c r="AP101" s="4">
        <f t="shared" si="103"/>
        <v>8878.6420573771411</v>
      </c>
      <c r="AQ101" s="4">
        <f t="shared" si="104"/>
        <v>1.5019878511939335E-3</v>
      </c>
      <c r="AR101" s="4">
        <f t="shared" si="105"/>
        <v>-3.6679815987242646E-2</v>
      </c>
      <c r="AS101" s="4">
        <f t="shared" si="106"/>
        <v>1.3298764756072307E-3</v>
      </c>
      <c r="AT101" s="4">
        <f t="shared" si="107"/>
        <v>0.39368078151783337</v>
      </c>
      <c r="AU101" s="4">
        <f t="shared" si="108"/>
        <v>0.14321962148570486</v>
      </c>
      <c r="AV101" s="4">
        <f t="shared" si="109"/>
        <v>-1.597308464129348E-3</v>
      </c>
      <c r="AW101" s="4">
        <f t="shared" si="110"/>
        <v>-1.8931241581612577</v>
      </c>
      <c r="AX101" s="4">
        <f t="shared" si="111"/>
        <v>-1.0450545049186888</v>
      </c>
      <c r="AY101" s="4">
        <f t="shared" si="112"/>
        <v>2.3304108036153068</v>
      </c>
      <c r="AZ101" s="4">
        <f t="shared" si="113"/>
        <v>16.354143958681409</v>
      </c>
      <c r="BA101" s="4">
        <f t="shared" si="114"/>
        <v>-4.001245128755225E-2</v>
      </c>
      <c r="BB101" s="4">
        <f t="shared" si="115"/>
        <v>-1.7829909953717236</v>
      </c>
      <c r="BC101" s="4">
        <f t="shared" si="116"/>
        <v>-0.96798955976970025</v>
      </c>
      <c r="BD101" s="4">
        <f t="shared" si="117"/>
        <v>5.3261366711054601</v>
      </c>
      <c r="BE101" s="4">
        <f t="shared" si="118"/>
        <v>14.63484543241521</v>
      </c>
      <c r="BF101" s="4">
        <f t="shared" si="119"/>
        <v>-10.052251164260754</v>
      </c>
      <c r="BG101" s="4">
        <f t="shared" si="120"/>
        <v>-1.5425386307432518</v>
      </c>
      <c r="BH101" s="4">
        <f t="shared" si="121"/>
        <v>-25.368832886187246</v>
      </c>
      <c r="BI101" s="4">
        <f t="shared" si="122"/>
        <v>-3.1815974028164304</v>
      </c>
      <c r="BJ101" s="4">
        <f t="shared" si="123"/>
        <v>-81.618752799892931</v>
      </c>
      <c r="BK101" s="4">
        <f t="shared" si="124"/>
        <v>3.6968540958711271E-2</v>
      </c>
      <c r="BL101" s="4">
        <f t="shared" si="125"/>
        <v>2.0053610882022079</v>
      </c>
      <c r="BM101" s="4">
        <f t="shared" si="126"/>
        <v>4.5153784679927131</v>
      </c>
      <c r="BN101" s="4">
        <f t="shared" si="127"/>
        <v>-4.0096164958417404</v>
      </c>
      <c r="BO101" s="4">
        <f t="shared" si="128"/>
        <v>-40.134247664608537</v>
      </c>
      <c r="BP101" s="4">
        <f t="shared" si="129"/>
        <v>-25.253504782000434</v>
      </c>
      <c r="BQ101" s="4">
        <f t="shared" si="130"/>
        <v>-4.4856216840826342</v>
      </c>
      <c r="BR101" s="4">
        <f t="shared" si="131"/>
        <v>24.80736691423526</v>
      </c>
      <c r="BS101" s="4">
        <f t="shared" si="132"/>
        <v>209.64149025421955</v>
      </c>
      <c r="BT101" s="4">
        <f t="shared" si="133"/>
        <v>853.32420718564515</v>
      </c>
      <c r="BU101" s="4">
        <f t="shared" si="134"/>
        <v>1.4903581302074529</v>
      </c>
      <c r="BV101" s="4">
        <f t="shared" si="135"/>
        <v>23.559300037612328</v>
      </c>
      <c r="BW101" s="4">
        <f t="shared" si="136"/>
        <v>-123.32047023220548</v>
      </c>
      <c r="BX101" s="4">
        <f t="shared" si="137"/>
        <v>-696.68261904233316</v>
      </c>
      <c r="BY101" s="4">
        <f t="shared" si="138"/>
        <v>-2044.8915434775329</v>
      </c>
      <c r="BZ101" s="6">
        <f t="shared" si="139"/>
        <v>-2.0064755751757275</v>
      </c>
      <c r="CA101" s="7"/>
      <c r="CB101" s="6">
        <v>-2.0064719022752802</v>
      </c>
      <c r="CC101" s="6"/>
    </row>
    <row r="102" spans="1:81" x14ac:dyDescent="0.3">
      <c r="A102" s="4">
        <v>100</v>
      </c>
      <c r="B102" s="4">
        <v>76321988</v>
      </c>
      <c r="C102" s="4">
        <v>10.542999999999999</v>
      </c>
      <c r="D102" s="4">
        <v>6.3280000000000003</v>
      </c>
      <c r="E102" s="4">
        <v>0.74399999999999999</v>
      </c>
      <c r="F102" s="4">
        <v>2.86</v>
      </c>
      <c r="H102" s="6">
        <v>-2618.81325553337</v>
      </c>
      <c r="I102" s="4">
        <f t="shared" si="70"/>
        <v>489.3301725403</v>
      </c>
      <c r="J102" s="4">
        <f t="shared" si="71"/>
        <v>-3114.1876356080002</v>
      </c>
      <c r="K102" s="4">
        <f t="shared" si="72"/>
        <v>1762.4069903999998</v>
      </c>
      <c r="L102" s="4">
        <f t="shared" si="73"/>
        <v>9242.107503199999</v>
      </c>
      <c r="M102" s="4">
        <f t="shared" si="74"/>
        <v>429.48686600411617</v>
      </c>
      <c r="N102" s="4">
        <f t="shared" si="75"/>
        <v>168.77261361150005</v>
      </c>
      <c r="O102" s="4">
        <f t="shared" si="76"/>
        <v>-539.90281651113594</v>
      </c>
      <c r="P102" s="4">
        <f t="shared" si="77"/>
        <v>-1156.1400024374198</v>
      </c>
      <c r="Q102" s="4">
        <f t="shared" si="78"/>
        <v>-480.56134973168002</v>
      </c>
      <c r="R102" s="4">
        <f t="shared" si="79"/>
        <v>851.94939749875198</v>
      </c>
      <c r="S102" s="4">
        <f t="shared" si="80"/>
        <v>7657.3766823153601</v>
      </c>
      <c r="T102" s="4">
        <f t="shared" si="81"/>
        <v>-229.75658938713599</v>
      </c>
      <c r="U102" s="4">
        <f t="shared" si="82"/>
        <v>-4374.8716172304003</v>
      </c>
      <c r="V102" s="4">
        <f t="shared" si="83"/>
        <v>-12160.592506919998</v>
      </c>
      <c r="W102" s="4">
        <f t="shared" si="84"/>
        <v>-42.407717672764974</v>
      </c>
      <c r="X102" s="4">
        <f t="shared" si="85"/>
        <v>93.331306758403969</v>
      </c>
      <c r="Y102" s="4">
        <f t="shared" si="86"/>
        <v>49.188446290276289</v>
      </c>
      <c r="Z102" s="4">
        <f t="shared" si="87"/>
        <v>-833.75489058892492</v>
      </c>
      <c r="AA102" s="4">
        <f t="shared" si="88"/>
        <v>98.088321404254046</v>
      </c>
      <c r="AB102" s="4">
        <f t="shared" si="89"/>
        <v>-534.87530901817081</v>
      </c>
      <c r="AC102" s="4">
        <f t="shared" si="90"/>
        <v>6.6223517420174032</v>
      </c>
      <c r="AD102" s="4">
        <f t="shared" si="91"/>
        <v>478.82705504151551</v>
      </c>
      <c r="AE102" s="4">
        <f t="shared" si="92"/>
        <v>446.61957190894924</v>
      </c>
      <c r="AF102" s="4">
        <f t="shared" si="93"/>
        <v>1030.163514324636</v>
      </c>
      <c r="AG102" s="4">
        <f t="shared" si="94"/>
        <v>-109.69930779774208</v>
      </c>
      <c r="AH102" s="4">
        <f t="shared" si="95"/>
        <v>470.75924158731846</v>
      </c>
      <c r="AI102" s="4">
        <f t="shared" si="96"/>
        <v>552.03809238363385</v>
      </c>
      <c r="AJ102" s="4">
        <f t="shared" si="97"/>
        <v>-51.497560531578472</v>
      </c>
      <c r="AK102" s="4">
        <f t="shared" si="98"/>
        <v>-1671.8110255028582</v>
      </c>
      <c r="AL102" s="4">
        <f t="shared" si="99"/>
        <v>-6035.8867212099449</v>
      </c>
      <c r="AM102" s="4">
        <f t="shared" si="100"/>
        <v>-123.96896819308338</v>
      </c>
      <c r="AN102" s="4">
        <f t="shared" si="101"/>
        <v>511.93752441676412</v>
      </c>
      <c r="AO102" s="4">
        <f t="shared" si="102"/>
        <v>3637.8916685874046</v>
      </c>
      <c r="AP102" s="4">
        <f t="shared" si="103"/>
        <v>7005.8798842398073</v>
      </c>
      <c r="AQ102" s="4">
        <f t="shared" si="104"/>
        <v>0.91181177503468491</v>
      </c>
      <c r="AR102" s="4">
        <f t="shared" si="105"/>
        <v>-10.163698310305548</v>
      </c>
      <c r="AS102" s="4">
        <f t="shared" si="106"/>
        <v>0.2860704204523859</v>
      </c>
      <c r="AT102" s="4">
        <f t="shared" si="107"/>
        <v>44.491666815987386</v>
      </c>
      <c r="AU102" s="4">
        <f t="shared" si="108"/>
        <v>18.113942274181966</v>
      </c>
      <c r="AV102" s="4">
        <f t="shared" si="109"/>
        <v>-0.15683257899578443</v>
      </c>
      <c r="AW102" s="4">
        <f t="shared" si="110"/>
        <v>-97.656105407741421</v>
      </c>
      <c r="AX102" s="4">
        <f t="shared" si="111"/>
        <v>-79.656911970165325</v>
      </c>
      <c r="AY102" s="4">
        <f t="shared" si="112"/>
        <v>93.323242773320075</v>
      </c>
      <c r="AZ102" s="4">
        <f t="shared" si="113"/>
        <v>344.07883897452422</v>
      </c>
      <c r="BA102" s="4">
        <f t="shared" si="114"/>
        <v>-2.3098908413825643</v>
      </c>
      <c r="BB102" s="4">
        <f t="shared" si="115"/>
        <v>-79.906568675958326</v>
      </c>
      <c r="BC102" s="4">
        <f t="shared" si="116"/>
        <v>-22.791705086960484</v>
      </c>
      <c r="BD102" s="4">
        <f t="shared" si="117"/>
        <v>185.30309438362309</v>
      </c>
      <c r="BE102" s="4">
        <f t="shared" si="118"/>
        <v>267.50463834288934</v>
      </c>
      <c r="BF102" s="4">
        <f t="shared" si="119"/>
        <v>-96.533781647710924</v>
      </c>
      <c r="BG102" s="4">
        <f t="shared" si="120"/>
        <v>-41.662319754561551</v>
      </c>
      <c r="BH102" s="4">
        <f t="shared" si="121"/>
        <v>-359.98192733369547</v>
      </c>
      <c r="BI102" s="4">
        <f t="shared" si="122"/>
        <v>-23.719102140516362</v>
      </c>
      <c r="BJ102" s="4">
        <f t="shared" si="123"/>
        <v>-319.68023628569222</v>
      </c>
      <c r="BK102" s="4">
        <f t="shared" si="124"/>
        <v>0.97412446273888842</v>
      </c>
      <c r="BL102" s="4">
        <f t="shared" si="125"/>
        <v>41.021520724070143</v>
      </c>
      <c r="BM102" s="4">
        <f t="shared" si="126"/>
        <v>48.527301502452339</v>
      </c>
      <c r="BN102" s="4">
        <f t="shared" si="127"/>
        <v>-63.673546794564665</v>
      </c>
      <c r="BO102" s="4">
        <f t="shared" si="128"/>
        <v>-334.84525099623596</v>
      </c>
      <c r="BP102" s="4">
        <f t="shared" si="129"/>
        <v>-110.6938490165839</v>
      </c>
      <c r="BQ102" s="4">
        <f t="shared" si="130"/>
        <v>-55.298822249976737</v>
      </c>
      <c r="BR102" s="4">
        <f t="shared" si="131"/>
        <v>160.67441266430899</v>
      </c>
      <c r="BS102" s="4">
        <f t="shared" si="132"/>
        <v>713.37206829605009</v>
      </c>
      <c r="BT102" s="4">
        <f t="shared" si="133"/>
        <v>1525.5475192644856</v>
      </c>
      <c r="BU102" s="4">
        <f t="shared" si="134"/>
        <v>14.263329458087433</v>
      </c>
      <c r="BV102" s="4">
        <f t="shared" si="135"/>
        <v>118.45829226571591</v>
      </c>
      <c r="BW102" s="4">
        <f t="shared" si="136"/>
        <v>-325.76998507438452</v>
      </c>
      <c r="BX102" s="4">
        <f t="shared" si="137"/>
        <v>-966.90472675866579</v>
      </c>
      <c r="BY102" s="4">
        <f t="shared" si="138"/>
        <v>-1491.0485956312848</v>
      </c>
      <c r="BZ102" s="6">
        <f t="shared" si="139"/>
        <v>-1.5520517766597095</v>
      </c>
      <c r="CA102" s="7"/>
      <c r="CB102" s="6">
        <v>-1.5520558311809509</v>
      </c>
      <c r="CC102" s="6"/>
    </row>
    <row r="103" spans="1:81" x14ac:dyDescent="0.3">
      <c r="A103" s="4">
        <v>101</v>
      </c>
      <c r="B103" s="4">
        <v>5282138</v>
      </c>
      <c r="C103" s="4">
        <v>6.9909999999999997</v>
      </c>
      <c r="D103" s="4">
        <v>5.5339999999999998</v>
      </c>
      <c r="E103" s="4">
        <v>0.505</v>
      </c>
      <c r="F103" s="4">
        <v>3.82</v>
      </c>
      <c r="H103" s="6">
        <v>-2618.81325553337</v>
      </c>
      <c r="I103" s="4">
        <f t="shared" si="70"/>
        <v>324.47189948109997</v>
      </c>
      <c r="J103" s="4">
        <f t="shared" si="71"/>
        <v>-2723.4377963739998</v>
      </c>
      <c r="K103" s="4">
        <f t="shared" si="72"/>
        <v>1196.257433</v>
      </c>
      <c r="L103" s="4">
        <f t="shared" si="73"/>
        <v>12344.353378399999</v>
      </c>
      <c r="M103" s="4">
        <f t="shared" si="74"/>
        <v>188.84264668940642</v>
      </c>
      <c r="N103" s="4">
        <f t="shared" si="75"/>
        <v>97.870037754134358</v>
      </c>
      <c r="O103" s="4">
        <f t="shared" si="76"/>
        <v>-243.00159893913997</v>
      </c>
      <c r="P103" s="4">
        <f t="shared" si="77"/>
        <v>-1023.9596740319798</v>
      </c>
      <c r="Q103" s="4">
        <f t="shared" si="78"/>
        <v>-367.53119558686996</v>
      </c>
      <c r="R103" s="4">
        <f t="shared" si="79"/>
        <v>505.71394219661994</v>
      </c>
      <c r="S103" s="4">
        <f t="shared" si="80"/>
        <v>8944.3755458559608</v>
      </c>
      <c r="T103" s="4">
        <f t="shared" si="81"/>
        <v>-105.85341189815</v>
      </c>
      <c r="U103" s="4">
        <f t="shared" si="82"/>
        <v>-3966.2591345210008</v>
      </c>
      <c r="V103" s="4">
        <f t="shared" si="83"/>
        <v>-21694.48751748</v>
      </c>
      <c r="W103" s="4">
        <f t="shared" si="84"/>
        <v>-12.36431858473917</v>
      </c>
      <c r="X103" s="4">
        <f t="shared" si="85"/>
        <v>35.888079813356654</v>
      </c>
      <c r="Y103" s="4">
        <f t="shared" si="86"/>
        <v>14.680192097109542</v>
      </c>
      <c r="Z103" s="4">
        <f t="shared" si="87"/>
        <v>-489.65017650732216</v>
      </c>
      <c r="AA103" s="4">
        <f t="shared" si="88"/>
        <v>49.743663484720628</v>
      </c>
      <c r="AB103" s="4">
        <f t="shared" si="89"/>
        <v>-210.53231836282541</v>
      </c>
      <c r="AC103" s="4">
        <f t="shared" si="90"/>
        <v>5.1292911821909462</v>
      </c>
      <c r="AD103" s="4">
        <f t="shared" si="91"/>
        <v>146.2819233840703</v>
      </c>
      <c r="AE103" s="4">
        <f t="shared" si="92"/>
        <v>268.49031159621723</v>
      </c>
      <c r="AF103" s="4">
        <f t="shared" si="93"/>
        <v>1218.6413759373183</v>
      </c>
      <c r="AG103" s="4">
        <f t="shared" si="94"/>
        <v>-73.370577958071181</v>
      </c>
      <c r="AH103" s="4">
        <f t="shared" si="95"/>
        <v>244.37831483999588</v>
      </c>
      <c r="AI103" s="4">
        <f t="shared" si="96"/>
        <v>563.91253034112185</v>
      </c>
      <c r="AJ103" s="4">
        <f t="shared" si="97"/>
        <v>-20.748954876545479</v>
      </c>
      <c r="AK103" s="4">
        <f t="shared" si="98"/>
        <v>-1325.4875160116726</v>
      </c>
      <c r="AL103" s="4">
        <f t="shared" si="99"/>
        <v>-9416.9101008429789</v>
      </c>
      <c r="AM103" s="4">
        <f t="shared" si="100"/>
        <v>-38.767546301948492</v>
      </c>
      <c r="AN103" s="4">
        <f t="shared" si="101"/>
        <v>315.02946736533045</v>
      </c>
      <c r="AO103" s="4">
        <f t="shared" si="102"/>
        <v>4405.1719417016238</v>
      </c>
      <c r="AP103" s="4">
        <f t="shared" si="103"/>
        <v>16693.779638335425</v>
      </c>
      <c r="AQ103" s="4">
        <f t="shared" si="104"/>
        <v>0.17628102974555088</v>
      </c>
      <c r="AR103" s="4">
        <f t="shared" si="105"/>
        <v>-2.5914911886366294</v>
      </c>
      <c r="AS103" s="4">
        <f t="shared" si="106"/>
        <v>5.661306704690975E-2</v>
      </c>
      <c r="AT103" s="4">
        <f t="shared" si="107"/>
        <v>17.326118998810166</v>
      </c>
      <c r="AU103" s="4">
        <f t="shared" si="108"/>
        <v>6.0912796622312548</v>
      </c>
      <c r="AV103" s="4">
        <f t="shared" si="109"/>
        <v>-4.0933379535174307E-2</v>
      </c>
      <c r="AW103" s="4">
        <f t="shared" si="110"/>
        <v>-50.155620268998995</v>
      </c>
      <c r="AX103" s="4">
        <f t="shared" si="111"/>
        <v>-16.136544598868849</v>
      </c>
      <c r="AY103" s="4">
        <f t="shared" si="112"/>
        <v>37.201100255875183</v>
      </c>
      <c r="AZ103" s="4">
        <f t="shared" si="113"/>
        <v>269.89995670804518</v>
      </c>
      <c r="BA103" s="4">
        <f t="shared" si="114"/>
        <v>-1.0244354662581177</v>
      </c>
      <c r="BB103" s="4">
        <f t="shared" si="115"/>
        <v>-27.505616819061835</v>
      </c>
      <c r="BC103" s="4">
        <f t="shared" si="116"/>
        <v>-15.438127051900466</v>
      </c>
      <c r="BD103" s="4">
        <f t="shared" si="117"/>
        <v>49.507082848588247</v>
      </c>
      <c r="BE103" s="4">
        <f t="shared" si="118"/>
        <v>140.63547004615933</v>
      </c>
      <c r="BF103" s="4">
        <f t="shared" si="119"/>
        <v>-99.866943737752891</v>
      </c>
      <c r="BG103" s="4">
        <f t="shared" si="120"/>
        <v>-8.6392068217462921</v>
      </c>
      <c r="BH103" s="4">
        <f t="shared" si="121"/>
        <v>-146.8892483073495</v>
      </c>
      <c r="BI103" s="4">
        <f t="shared" si="122"/>
        <v>-19.045239702066233</v>
      </c>
      <c r="BJ103" s="4">
        <f t="shared" si="123"/>
        <v>-505.10640138148619</v>
      </c>
      <c r="BK103" s="4">
        <f t="shared" si="124"/>
        <v>0.5697773578316595</v>
      </c>
      <c r="BL103" s="4">
        <f t="shared" si="125"/>
        <v>18.622940330044688</v>
      </c>
      <c r="BM103" s="4">
        <f t="shared" si="126"/>
        <v>43.351240018449964</v>
      </c>
      <c r="BN103" s="4">
        <f t="shared" si="127"/>
        <v>-22.43578635226066</v>
      </c>
      <c r="BO103" s="4">
        <f t="shared" si="128"/>
        <v>-232.16956348639326</v>
      </c>
      <c r="BP103" s="4">
        <f t="shared" si="129"/>
        <v>-151.0301024777589</v>
      </c>
      <c r="BQ103" s="4">
        <f t="shared" si="130"/>
        <v>-15.123206903568578</v>
      </c>
      <c r="BR103" s="4">
        <f t="shared" si="131"/>
        <v>86.467642896437425</v>
      </c>
      <c r="BS103" s="4">
        <f t="shared" si="132"/>
        <v>755.44332332642239</v>
      </c>
      <c r="BT103" s="4">
        <f t="shared" si="133"/>
        <v>3178.9991638616034</v>
      </c>
      <c r="BU103" s="4">
        <f t="shared" si="134"/>
        <v>3.0275734219785857</v>
      </c>
      <c r="BV103" s="4">
        <f t="shared" si="135"/>
        <v>49.478682276486545</v>
      </c>
      <c r="BW103" s="4">
        <f t="shared" si="136"/>
        <v>-267.75809693881939</v>
      </c>
      <c r="BX103" s="4">
        <f t="shared" si="137"/>
        <v>-1563.8464739490385</v>
      </c>
      <c r="BY103" s="4">
        <f t="shared" si="138"/>
        <v>-4745.490596579627</v>
      </c>
      <c r="BZ103" s="6">
        <f t="shared" si="139"/>
        <v>-1.6028696602852506</v>
      </c>
      <c r="CA103" s="7"/>
      <c r="CB103" s="6">
        <v>-1.602872998063503</v>
      </c>
      <c r="CC103" s="6"/>
    </row>
    <row r="104" spans="1:81" x14ac:dyDescent="0.3">
      <c r="A104" s="4">
        <v>102</v>
      </c>
      <c r="B104" s="4">
        <v>56676352</v>
      </c>
      <c r="C104" s="4">
        <v>4.2729999999999997</v>
      </c>
      <c r="D104" s="4">
        <v>3.4820000000000002</v>
      </c>
      <c r="E104" s="4">
        <v>0.57499999999999996</v>
      </c>
      <c r="F104" s="4">
        <v>3.504</v>
      </c>
      <c r="H104" s="6">
        <v>-2618.81325553337</v>
      </c>
      <c r="I104" s="4">
        <f t="shared" si="70"/>
        <v>198.32190337329999</v>
      </c>
      <c r="J104" s="4">
        <f t="shared" si="71"/>
        <v>-1713.5906048020001</v>
      </c>
      <c r="K104" s="4">
        <f t="shared" si="72"/>
        <v>1362.0752949999999</v>
      </c>
      <c r="L104" s="4">
        <f t="shared" si="73"/>
        <v>11323.19744448</v>
      </c>
      <c r="M104" s="4">
        <f t="shared" si="74"/>
        <v>70.548414833933762</v>
      </c>
      <c r="N104" s="4">
        <f t="shared" si="75"/>
        <v>37.638556443036215</v>
      </c>
      <c r="O104" s="4">
        <f t="shared" si="76"/>
        <v>-169.11385460329998</v>
      </c>
      <c r="P104" s="4">
        <f t="shared" si="77"/>
        <v>-574.08629433556791</v>
      </c>
      <c r="Q104" s="4">
        <f t="shared" si="78"/>
        <v>-145.50349704023003</v>
      </c>
      <c r="R104" s="4">
        <f t="shared" si="79"/>
        <v>362.30222865989998</v>
      </c>
      <c r="S104" s="4">
        <f t="shared" si="80"/>
        <v>5162.2659182525767</v>
      </c>
      <c r="T104" s="4">
        <f t="shared" si="81"/>
        <v>-137.23275878374997</v>
      </c>
      <c r="U104" s="4">
        <f t="shared" si="82"/>
        <v>-4142.4596465880004</v>
      </c>
      <c r="V104" s="4">
        <f t="shared" si="83"/>
        <v>-18253.6981477632</v>
      </c>
      <c r="W104" s="4">
        <f t="shared" si="84"/>
        <v>-2.8232605444006178</v>
      </c>
      <c r="X104" s="4">
        <f t="shared" si="85"/>
        <v>8.4358143877781586</v>
      </c>
      <c r="Y104" s="4">
        <f t="shared" si="86"/>
        <v>6.2444671677541219</v>
      </c>
      <c r="Z104" s="4">
        <f t="shared" si="87"/>
        <v>-167.79299706848764</v>
      </c>
      <c r="AA104" s="4">
        <f t="shared" si="88"/>
        <v>12.036787164230189</v>
      </c>
      <c r="AB104" s="4">
        <f t="shared" si="89"/>
        <v>-92.188859485599224</v>
      </c>
      <c r="AC104" s="4">
        <f t="shared" si="90"/>
        <v>1.8094279364157577</v>
      </c>
      <c r="AD104" s="4">
        <f t="shared" si="91"/>
        <v>115.91434509726335</v>
      </c>
      <c r="AE104" s="4">
        <f t="shared" si="92"/>
        <v>171.39549820441931</v>
      </c>
      <c r="AF104" s="4">
        <f t="shared" si="93"/>
        <v>626.71628420678996</v>
      </c>
      <c r="AG104" s="4">
        <f t="shared" si="94"/>
        <v>-18.276405114791089</v>
      </c>
      <c r="AH104" s="4">
        <f t="shared" si="95"/>
        <v>110.15858690681054</v>
      </c>
      <c r="AI104" s="4">
        <f t="shared" si="96"/>
        <v>204.78196378706085</v>
      </c>
      <c r="AJ104" s="4">
        <f t="shared" si="97"/>
        <v>-16.925393379478997</v>
      </c>
      <c r="AK104" s="4">
        <f t="shared" si="98"/>
        <v>-871.04873596240304</v>
      </c>
      <c r="AL104" s="4">
        <f t="shared" si="99"/>
        <v>-4985.3942168540225</v>
      </c>
      <c r="AM104" s="4">
        <f t="shared" si="100"/>
        <v>-57.22656969368748</v>
      </c>
      <c r="AN104" s="4">
        <f t="shared" si="101"/>
        <v>374.63197914320995</v>
      </c>
      <c r="AO104" s="4">
        <f t="shared" si="102"/>
        <v>4220.2754750409977</v>
      </c>
      <c r="AP104" s="4">
        <f t="shared" si="103"/>
        <v>12884.182866327603</v>
      </c>
      <c r="AQ104" s="4">
        <f t="shared" si="104"/>
        <v>2.4602539714064724E-2</v>
      </c>
      <c r="AR104" s="4">
        <f t="shared" si="105"/>
        <v>-0.37232321884904479</v>
      </c>
      <c r="AS104" s="4">
        <f t="shared" si="106"/>
        <v>1.4718851454016796E-2</v>
      </c>
      <c r="AT104" s="4">
        <f t="shared" si="107"/>
        <v>3.6289651664375819</v>
      </c>
      <c r="AU104" s="4">
        <f t="shared" si="108"/>
        <v>0.9008965931279389</v>
      </c>
      <c r="AV104" s="4">
        <f t="shared" si="109"/>
        <v>-1.0955466172267362E-2</v>
      </c>
      <c r="AW104" s="4">
        <f t="shared" si="110"/>
        <v>-10.814268136911839</v>
      </c>
      <c r="AX104" s="4">
        <f t="shared" si="111"/>
        <v>-7.815390041273699</v>
      </c>
      <c r="AY104" s="4">
        <f t="shared" si="112"/>
        <v>14.515104513858484</v>
      </c>
      <c r="AZ104" s="4">
        <f t="shared" si="113"/>
        <v>84.838203880101588</v>
      </c>
      <c r="BA104" s="4">
        <f t="shared" si="114"/>
        <v>-0.1559721404271549</v>
      </c>
      <c r="BB104" s="4">
        <f t="shared" si="115"/>
        <v>-7.5782803896926341</v>
      </c>
      <c r="BC104" s="4">
        <f t="shared" si="116"/>
        <v>-3.4266374733084137</v>
      </c>
      <c r="BD104" s="4">
        <f t="shared" si="117"/>
        <v>24.683314260539113</v>
      </c>
      <c r="BE104" s="4">
        <f t="shared" si="118"/>
        <v>56.487879608701959</v>
      </c>
      <c r="BF104" s="4">
        <f t="shared" si="119"/>
        <v>-32.31516896558972</v>
      </c>
      <c r="BG104" s="4">
        <f t="shared" si="120"/>
        <v>-7.7946543520412277</v>
      </c>
      <c r="BH104" s="4">
        <f t="shared" si="121"/>
        <v>-106.76705579238576</v>
      </c>
      <c r="BI104" s="4">
        <f t="shared" si="122"/>
        <v>-11.152133752175928</v>
      </c>
      <c r="BJ104" s="4">
        <f t="shared" si="123"/>
        <v>-238.27510354537191</v>
      </c>
      <c r="BK104" s="4">
        <f t="shared" si="124"/>
        <v>8.9302503674159109E-2</v>
      </c>
      <c r="BL104" s="4">
        <f t="shared" si="125"/>
        <v>5.2819411030441499</v>
      </c>
      <c r="BM104" s="4">
        <f t="shared" si="126"/>
        <v>9.9053789514998982</v>
      </c>
      <c r="BN104" s="4">
        <f t="shared" si="127"/>
        <v>-11.515252167364631</v>
      </c>
      <c r="BO104" s="4">
        <f t="shared" si="128"/>
        <v>-95.997894961438973</v>
      </c>
      <c r="BP104" s="4">
        <f t="shared" si="129"/>
        <v>-50.308829172865707</v>
      </c>
      <c r="BQ104" s="4">
        <f t="shared" si="130"/>
        <v>-14.046331234841894</v>
      </c>
      <c r="BR104" s="4">
        <f t="shared" si="131"/>
        <v>64.698900456693039</v>
      </c>
      <c r="BS104" s="4">
        <f t="shared" si="132"/>
        <v>455.37526285348588</v>
      </c>
      <c r="BT104" s="4">
        <f t="shared" si="133"/>
        <v>1543.7686931710725</v>
      </c>
      <c r="BU104" s="4">
        <f t="shared" si="134"/>
        <v>5.0886262079409361</v>
      </c>
      <c r="BV104" s="4">
        <f t="shared" si="135"/>
        <v>66.995905176464973</v>
      </c>
      <c r="BW104" s="4">
        <f t="shared" si="136"/>
        <v>-292.07676848751697</v>
      </c>
      <c r="BX104" s="4">
        <f t="shared" si="137"/>
        <v>-1374.2722767710427</v>
      </c>
      <c r="BY104" s="4">
        <f t="shared" si="138"/>
        <v>-3359.5727927089192</v>
      </c>
      <c r="BZ104" s="6">
        <f t="shared" si="139"/>
        <v>-1.2116340795828364</v>
      </c>
      <c r="CA104" s="7"/>
      <c r="CB104" s="6">
        <v>-1.2116324804551371</v>
      </c>
      <c r="CC104" s="6"/>
    </row>
    <row r="105" spans="1:81" x14ac:dyDescent="0.3">
      <c r="A105" s="4">
        <v>103</v>
      </c>
      <c r="B105" s="4">
        <v>71719463</v>
      </c>
      <c r="C105" s="4">
        <v>7.194</v>
      </c>
      <c r="D105" s="4">
        <v>3.8490000000000002</v>
      </c>
      <c r="E105" s="4">
        <v>0.80400000000000005</v>
      </c>
      <c r="F105" s="4">
        <v>2.871</v>
      </c>
      <c r="H105" s="6">
        <v>-2618.81325553337</v>
      </c>
      <c r="I105" s="4">
        <f t="shared" si="70"/>
        <v>333.89369830739997</v>
      </c>
      <c r="J105" s="4">
        <f t="shared" si="71"/>
        <v>-1894.201676589</v>
      </c>
      <c r="K105" s="4">
        <f t="shared" si="72"/>
        <v>1904.5365864</v>
      </c>
      <c r="L105" s="4">
        <f t="shared" si="73"/>
        <v>9277.6540705200005</v>
      </c>
      <c r="M105" s="4">
        <f t="shared" si="74"/>
        <v>199.96884643294152</v>
      </c>
      <c r="N105" s="4">
        <f t="shared" si="75"/>
        <v>70.047016710598626</v>
      </c>
      <c r="O105" s="4">
        <f t="shared" si="76"/>
        <v>-398.11169274940801</v>
      </c>
      <c r="P105" s="4">
        <f t="shared" si="77"/>
        <v>-791.92456436154589</v>
      </c>
      <c r="Q105" s="4">
        <f t="shared" si="78"/>
        <v>-177.79179717195751</v>
      </c>
      <c r="R105" s="4">
        <f t="shared" si="79"/>
        <v>559.98752720925609</v>
      </c>
      <c r="S105" s="4">
        <f t="shared" si="80"/>
        <v>4675.5059223417938</v>
      </c>
      <c r="T105" s="4">
        <f t="shared" si="81"/>
        <v>-268.30835841801604</v>
      </c>
      <c r="U105" s="4">
        <f t="shared" si="82"/>
        <v>-4745.867243828041</v>
      </c>
      <c r="V105" s="4">
        <f t="shared" si="83"/>
        <v>-12254.315416625701</v>
      </c>
      <c r="W105" s="4">
        <f t="shared" si="84"/>
        <v>-13.472977385863375</v>
      </c>
      <c r="X105" s="4">
        <f t="shared" si="85"/>
        <v>26.431465360519731</v>
      </c>
      <c r="Y105" s="4">
        <f t="shared" si="86"/>
        <v>24.749057911927451</v>
      </c>
      <c r="Z105" s="4">
        <f t="shared" si="87"/>
        <v>-389.68887512251951</v>
      </c>
      <c r="AA105" s="4">
        <f t="shared" si="88"/>
        <v>24.762039420398931</v>
      </c>
      <c r="AB105" s="4">
        <f t="shared" si="89"/>
        <v>-239.89617926090671</v>
      </c>
      <c r="AC105" s="4">
        <f t="shared" si="90"/>
        <v>2.7590976496053043</v>
      </c>
      <c r="AD105" s="4">
        <f t="shared" si="91"/>
        <v>381.54971599595962</v>
      </c>
      <c r="AE105" s="4">
        <f t="shared" si="92"/>
        <v>330.59345439574713</v>
      </c>
      <c r="AF105" s="4">
        <f t="shared" si="93"/>
        <v>708.34806186003232</v>
      </c>
      <c r="AG105" s="4">
        <f t="shared" si="94"/>
        <v>-24.685857006550211</v>
      </c>
      <c r="AH105" s="4">
        <f t="shared" si="95"/>
        <v>188.21093357758525</v>
      </c>
      <c r="AI105" s="4">
        <f t="shared" si="96"/>
        <v>205.02134913074698</v>
      </c>
      <c r="AJ105" s="4">
        <f t="shared" si="97"/>
        <v>-36.579210165638905</v>
      </c>
      <c r="AK105" s="4">
        <f t="shared" si="98"/>
        <v>-1103.1101946175813</v>
      </c>
      <c r="AL105" s="4">
        <f t="shared" si="99"/>
        <v>-3699.6176259979693</v>
      </c>
      <c r="AM105" s="4">
        <f t="shared" si="100"/>
        <v>-156.44523002188726</v>
      </c>
      <c r="AN105" s="4">
        <f t="shared" si="101"/>
        <v>600.13692647371431</v>
      </c>
      <c r="AO105" s="4">
        <f t="shared" si="102"/>
        <v>3961.5687225237302</v>
      </c>
      <c r="AP105" s="4">
        <f t="shared" si="103"/>
        <v>7087.0282702612831</v>
      </c>
      <c r="AQ105" s="4">
        <f t="shared" si="104"/>
        <v>0.19766514901452895</v>
      </c>
      <c r="AR105" s="4">
        <f t="shared" si="105"/>
        <v>-1.964047047742723</v>
      </c>
      <c r="AS105" s="4">
        <f t="shared" si="106"/>
        <v>9.8214305137702365E-2</v>
      </c>
      <c r="AT105" s="4">
        <f t="shared" si="107"/>
        <v>14.189415841586042</v>
      </c>
      <c r="AU105" s="4">
        <f t="shared" si="108"/>
        <v>3.1202422597746171</v>
      </c>
      <c r="AV105" s="4">
        <f t="shared" si="109"/>
        <v>-4.7996911451699376E-2</v>
      </c>
      <c r="AW105" s="4">
        <f t="shared" si="110"/>
        <v>-27.76262035139429</v>
      </c>
      <c r="AX105" s="4">
        <f t="shared" si="111"/>
        <v>-43.311392469194857</v>
      </c>
      <c r="AY105" s="4">
        <f t="shared" si="112"/>
        <v>47.135980732860077</v>
      </c>
      <c r="AZ105" s="4">
        <f t="shared" si="113"/>
        <v>161.43761644425862</v>
      </c>
      <c r="BA105" s="4">
        <f t="shared" si="114"/>
        <v>-0.35468433324500415</v>
      </c>
      <c r="BB105" s="4">
        <f t="shared" si="115"/>
        <v>-21.798906223526064</v>
      </c>
      <c r="BC105" s="4">
        <f t="shared" si="116"/>
        <v>-5.7758124728269662</v>
      </c>
      <c r="BD105" s="4">
        <f t="shared" si="117"/>
        <v>89.812454540269599</v>
      </c>
      <c r="BE105" s="4">
        <f t="shared" si="118"/>
        <v>120.43958681198242</v>
      </c>
      <c r="BF105" s="4">
        <f t="shared" si="119"/>
        <v>-40.37395605971949</v>
      </c>
      <c r="BG105" s="4">
        <f t="shared" si="120"/>
        <v>-35.875586881694034</v>
      </c>
      <c r="BH105" s="4">
        <f t="shared" si="121"/>
        <v>-287.95214007078363</v>
      </c>
      <c r="BI105" s="4">
        <f t="shared" si="122"/>
        <v>-17.624706932705866</v>
      </c>
      <c r="BJ105" s="4">
        <f t="shared" si="123"/>
        <v>-220.65993840493041</v>
      </c>
      <c r="BK105" s="4">
        <f t="shared" si="124"/>
        <v>0.13333378633899939</v>
      </c>
      <c r="BL105" s="4">
        <f t="shared" si="125"/>
        <v>9.9756037829029314</v>
      </c>
      <c r="BM105" s="4">
        <f t="shared" si="126"/>
        <v>10.962197518747123</v>
      </c>
      <c r="BN105" s="4">
        <f t="shared" si="127"/>
        <v>-27.509845388837263</v>
      </c>
      <c r="BO105" s="4">
        <f t="shared" si="128"/>
        <v>-134.38701194428251</v>
      </c>
      <c r="BP105" s="4">
        <f t="shared" si="129"/>
        <v>-41.268690534157791</v>
      </c>
      <c r="BQ105" s="4">
        <f t="shared" si="130"/>
        <v>-42.446966841463912</v>
      </c>
      <c r="BR105" s="4">
        <f t="shared" si="131"/>
        <v>114.56752929635707</v>
      </c>
      <c r="BS105" s="4">
        <f t="shared" si="132"/>
        <v>472.51431842498107</v>
      </c>
      <c r="BT105" s="4">
        <f t="shared" si="133"/>
        <v>938.66075100131377</v>
      </c>
      <c r="BU105" s="4">
        <f t="shared" si="134"/>
        <v>19.451512050943098</v>
      </c>
      <c r="BV105" s="4">
        <f t="shared" si="135"/>
        <v>150.0658824442047</v>
      </c>
      <c r="BW105" s="4">
        <f t="shared" si="136"/>
        <v>-383.36425183082883</v>
      </c>
      <c r="BX105" s="4">
        <f t="shared" si="137"/>
        <v>-1056.9836625476587</v>
      </c>
      <c r="BY105" s="4">
        <f t="shared" si="138"/>
        <v>-1514.1204860498713</v>
      </c>
      <c r="BZ105" s="6">
        <f t="shared" si="139"/>
        <v>-0.89779127835822692</v>
      </c>
      <c r="CA105" s="7"/>
      <c r="CB105" s="6">
        <v>-0.89779186489295171</v>
      </c>
      <c r="CC105" s="6"/>
    </row>
    <row r="106" spans="1:81" x14ac:dyDescent="0.3">
      <c r="A106" s="4">
        <v>104</v>
      </c>
      <c r="B106" s="4">
        <v>168293143</v>
      </c>
      <c r="C106" s="4">
        <v>5.2560000000000002</v>
      </c>
      <c r="D106" s="4">
        <v>5.335</v>
      </c>
      <c r="E106" s="4">
        <v>0.36199999999999999</v>
      </c>
      <c r="F106" s="4">
        <v>3.6379999999999999</v>
      </c>
      <c r="H106" s="6">
        <v>-2618.81325553337</v>
      </c>
      <c r="I106" s="4">
        <f t="shared" si="70"/>
        <v>243.94568783760002</v>
      </c>
      <c r="J106" s="4">
        <f t="shared" si="71"/>
        <v>-2625.5042724350001</v>
      </c>
      <c r="K106" s="4">
        <f t="shared" si="72"/>
        <v>857.51522919999991</v>
      </c>
      <c r="L106" s="4">
        <f t="shared" si="73"/>
        <v>11756.219264559999</v>
      </c>
      <c r="M106" s="4">
        <f t="shared" si="74"/>
        <v>106.74122618189953</v>
      </c>
      <c r="N106" s="4">
        <f t="shared" si="75"/>
        <v>70.935082672885187</v>
      </c>
      <c r="O106" s="4">
        <f t="shared" si="76"/>
        <v>-130.96111924857598</v>
      </c>
      <c r="P106" s="4">
        <f t="shared" si="77"/>
        <v>-733.15911729211189</v>
      </c>
      <c r="Q106" s="4">
        <f t="shared" si="78"/>
        <v>-341.57395258043749</v>
      </c>
      <c r="R106" s="4">
        <f t="shared" si="79"/>
        <v>349.47602584421998</v>
      </c>
      <c r="S106" s="4">
        <f t="shared" si="80"/>
        <v>8211.9184209239102</v>
      </c>
      <c r="T106" s="4">
        <f t="shared" si="81"/>
        <v>-54.392528217943998</v>
      </c>
      <c r="U106" s="4">
        <f t="shared" si="82"/>
        <v>-2707.6816985963601</v>
      </c>
      <c r="V106" s="4">
        <f t="shared" si="83"/>
        <v>-19676.509474198796</v>
      </c>
      <c r="W106" s="4">
        <f t="shared" si="84"/>
        <v>-5.2543421555999625</v>
      </c>
      <c r="X106" s="4">
        <f t="shared" si="85"/>
        <v>19.555890637473688</v>
      </c>
      <c r="Y106" s="4">
        <f t="shared" si="86"/>
        <v>5.9481380546365781</v>
      </c>
      <c r="Z106" s="4">
        <f t="shared" si="87"/>
        <v>-263.58297536315155</v>
      </c>
      <c r="AA106" s="4">
        <f t="shared" si="88"/>
        <v>34.75716607657953</v>
      </c>
      <c r="AB106" s="4">
        <f t="shared" si="89"/>
        <v>-109.38235983614676</v>
      </c>
      <c r="AC106" s="4">
        <f t="shared" si="90"/>
        <v>3.540527803416663</v>
      </c>
      <c r="AD106" s="4">
        <f t="shared" si="91"/>
        <v>56.512055133893547</v>
      </c>
      <c r="AE106" s="4">
        <f t="shared" si="92"/>
        <v>137.80380125965829</v>
      </c>
      <c r="AF106" s="4">
        <f t="shared" si="93"/>
        <v>830.98012658663629</v>
      </c>
      <c r="AG106" s="4">
        <f t="shared" si="94"/>
        <v>-65.736677054094741</v>
      </c>
      <c r="AH106" s="4">
        <f t="shared" si="95"/>
        <v>162.80599619237262</v>
      </c>
      <c r="AI106" s="4">
        <f t="shared" si="96"/>
        <v>499.11614075713373</v>
      </c>
      <c r="AJ106" s="4">
        <f t="shared" si="97"/>
        <v>-10.27840864015451</v>
      </c>
      <c r="AK106" s="4">
        <f t="shared" si="98"/>
        <v>-872.34331019312299</v>
      </c>
      <c r="AL106" s="4">
        <f t="shared" si="99"/>
        <v>-8233.8387387164476</v>
      </c>
      <c r="AM106" s="4">
        <f t="shared" si="100"/>
        <v>-14.279726566962463</v>
      </c>
      <c r="AN106" s="4">
        <f t="shared" si="101"/>
        <v>154.16468346952388</v>
      </c>
      <c r="AO106" s="4">
        <f t="shared" si="102"/>
        <v>2864.0376341715769</v>
      </c>
      <c r="AP106" s="4">
        <f t="shared" si="103"/>
        <v>14419.582025993519</v>
      </c>
      <c r="AQ106" s="4">
        <f t="shared" si="104"/>
        <v>5.632092727421751E-2</v>
      </c>
      <c r="AR106" s="4">
        <f t="shared" si="105"/>
        <v>-1.0616788573566063</v>
      </c>
      <c r="AS106" s="4">
        <f t="shared" si="106"/>
        <v>1.7245748142882971E-2</v>
      </c>
      <c r="AT106" s="4">
        <f t="shared" si="107"/>
        <v>7.0121110922902581</v>
      </c>
      <c r="AU106" s="4">
        <f t="shared" si="108"/>
        <v>3.1998615360739553</v>
      </c>
      <c r="AV106" s="4">
        <f t="shared" si="109"/>
        <v>-1.5989032029113715E-2</v>
      </c>
      <c r="AW106" s="4">
        <f t="shared" si="110"/>
        <v>-26.028330657641082</v>
      </c>
      <c r="AX106" s="4">
        <f t="shared" si="111"/>
        <v>-4.6868066375721851</v>
      </c>
      <c r="AY106" s="4">
        <f t="shared" si="112"/>
        <v>14.355040357306221</v>
      </c>
      <c r="AZ106" s="4">
        <f t="shared" si="113"/>
        <v>138.36733850666502</v>
      </c>
      <c r="BA106" s="4">
        <f t="shared" si="114"/>
        <v>-0.69005938495434793</v>
      </c>
      <c r="BB106" s="4">
        <f t="shared" si="115"/>
        <v>-13.776699109486598</v>
      </c>
      <c r="BC106" s="4">
        <f t="shared" si="116"/>
        <v>-10.273076801066734</v>
      </c>
      <c r="BD106" s="4">
        <f t="shared" si="117"/>
        <v>18.437967492999157</v>
      </c>
      <c r="BE106" s="4">
        <f t="shared" si="118"/>
        <v>69.586135222165595</v>
      </c>
      <c r="BF106" s="4">
        <f t="shared" si="119"/>
        <v>-65.649548896024911</v>
      </c>
      <c r="BG106" s="4">
        <f t="shared" si="120"/>
        <v>-2.3924424671004245</v>
      </c>
      <c r="BH106" s="4">
        <f t="shared" si="121"/>
        <v>-54.043041083033906</v>
      </c>
      <c r="BI106" s="4">
        <f t="shared" si="122"/>
        <v>-9.3093284549047901</v>
      </c>
      <c r="BJ106" s="4">
        <f t="shared" si="123"/>
        <v>-328.01743057589596</v>
      </c>
      <c r="BK106" s="4">
        <f t="shared" si="124"/>
        <v>0.49213727794411616</v>
      </c>
      <c r="BL106" s="4">
        <f t="shared" si="125"/>
        <v>11.960552756600107</v>
      </c>
      <c r="BM106" s="4">
        <f t="shared" si="126"/>
        <v>36.990198615601244</v>
      </c>
      <c r="BN106" s="4">
        <f t="shared" si="127"/>
        <v>-10.714359605152501</v>
      </c>
      <c r="BO106" s="4">
        <f t="shared" si="128"/>
        <v>-147.30325612303304</v>
      </c>
      <c r="BP106" s="4">
        <f t="shared" si="129"/>
        <v>-127.30712737941894</v>
      </c>
      <c r="BQ106" s="4">
        <f t="shared" si="130"/>
        <v>-5.3702034601500088</v>
      </c>
      <c r="BR106" s="4">
        <f t="shared" si="131"/>
        <v>40.792714502978498</v>
      </c>
      <c r="BS106" s="4">
        <f t="shared" si="132"/>
        <v>473.4923996314173</v>
      </c>
      <c r="BT106" s="4">
        <f t="shared" si="133"/>
        <v>2647.1812502277503</v>
      </c>
      <c r="BU106" s="4">
        <f t="shared" si="134"/>
        <v>0.79939872954923885</v>
      </c>
      <c r="BV106" s="4">
        <f t="shared" si="135"/>
        <v>17.356775013469896</v>
      </c>
      <c r="BW106" s="4">
        <f t="shared" si="136"/>
        <v>-124.78881513386331</v>
      </c>
      <c r="BX106" s="4">
        <f t="shared" si="137"/>
        <v>-968.29859811137896</v>
      </c>
      <c r="BY106" s="4">
        <f t="shared" si="138"/>
        <v>-3903.7180648650269</v>
      </c>
      <c r="BZ106" s="6">
        <f t="shared" si="139"/>
        <v>-1.0842422682057986</v>
      </c>
      <c r="CA106" s="7"/>
      <c r="CB106" s="6">
        <v>-1.084242868917954</v>
      </c>
      <c r="CC106" s="6"/>
    </row>
    <row r="107" spans="1:81" x14ac:dyDescent="0.3">
      <c r="A107" s="4">
        <v>105</v>
      </c>
      <c r="B107" s="4">
        <v>44446340</v>
      </c>
      <c r="C107" s="4">
        <v>7.702</v>
      </c>
      <c r="D107" s="4">
        <v>6.6760000000000002</v>
      </c>
      <c r="E107" s="4">
        <v>0.90800000000000003</v>
      </c>
      <c r="F107" s="4">
        <v>3.0539999999999998</v>
      </c>
      <c r="H107" s="6">
        <v>-2618.81325553337</v>
      </c>
      <c r="I107" s="4">
        <f t="shared" si="70"/>
        <v>357.47140177419999</v>
      </c>
      <c r="J107" s="4">
        <f t="shared" si="71"/>
        <v>-3285.4482704360003</v>
      </c>
      <c r="K107" s="4">
        <f t="shared" si="72"/>
        <v>2150.8945527999999</v>
      </c>
      <c r="L107" s="4">
        <f t="shared" si="73"/>
        <v>9869.0196904799996</v>
      </c>
      <c r="M107" s="4">
        <f t="shared" si="74"/>
        <v>229.20733038649931</v>
      </c>
      <c r="N107" s="4">
        <f t="shared" si="75"/>
        <v>130.07419331858503</v>
      </c>
      <c r="O107" s="4">
        <f t="shared" si="76"/>
        <v>-481.35757856892798</v>
      </c>
      <c r="P107" s="4">
        <f t="shared" si="77"/>
        <v>-901.88826352993181</v>
      </c>
      <c r="Q107" s="4">
        <f t="shared" si="78"/>
        <v>-534.87038679451996</v>
      </c>
      <c r="R107" s="4">
        <f t="shared" si="79"/>
        <v>1096.9240806674879</v>
      </c>
      <c r="S107" s="4">
        <f t="shared" si="80"/>
        <v>8626.4650789969692</v>
      </c>
      <c r="T107" s="4">
        <f t="shared" si="81"/>
        <v>-342.21087104086399</v>
      </c>
      <c r="U107" s="4">
        <f t="shared" si="82"/>
        <v>-5701.3962471199211</v>
      </c>
      <c r="V107" s="4">
        <f t="shared" si="83"/>
        <v>-13866.304565293198</v>
      </c>
      <c r="W107" s="4">
        <f t="shared" si="84"/>
        <v>-16.533424756127488</v>
      </c>
      <c r="X107" s="4">
        <f t="shared" si="85"/>
        <v>52.547955033926947</v>
      </c>
      <c r="Y107" s="4">
        <f t="shared" si="86"/>
        <v>32.037205964262746</v>
      </c>
      <c r="Z107" s="4">
        <f t="shared" si="87"/>
        <v>-475.1382672134618</v>
      </c>
      <c r="AA107" s="4">
        <f t="shared" si="88"/>
        <v>79.754707256586968</v>
      </c>
      <c r="AB107" s="4">
        <f t="shared" si="89"/>
        <v>-503.10036066191719</v>
      </c>
      <c r="AC107" s="4">
        <f t="shared" si="90"/>
        <v>5.4500992253680938</v>
      </c>
      <c r="AD107" s="4">
        <f t="shared" si="91"/>
        <v>521.00730791142541</v>
      </c>
      <c r="AE107" s="4">
        <f t="shared" si="92"/>
        <v>425.19972139048332</v>
      </c>
      <c r="AF107" s="4">
        <f t="shared" si="93"/>
        <v>858.12681116094109</v>
      </c>
      <c r="AG107" s="4">
        <f t="shared" si="94"/>
        <v>-128.81115065188726</v>
      </c>
      <c r="AH107" s="4">
        <f t="shared" si="95"/>
        <v>639.45720122372552</v>
      </c>
      <c r="AI107" s="4">
        <f t="shared" si="96"/>
        <v>656.10260348859379</v>
      </c>
      <c r="AJ107" s="4">
        <f t="shared" si="97"/>
        <v>-80.921204810665529</v>
      </c>
      <c r="AK107" s="4">
        <f t="shared" si="98"/>
        <v>-2298.5447063822594</v>
      </c>
      <c r="AL107" s="4">
        <f t="shared" si="99"/>
        <v>-7261.0083675798423</v>
      </c>
      <c r="AM107" s="4">
        <f t="shared" si="100"/>
        <v>-225.34697130423069</v>
      </c>
      <c r="AN107" s="4">
        <f t="shared" si="101"/>
        <v>814.22754355146526</v>
      </c>
      <c r="AO107" s="4">
        <f t="shared" si="102"/>
        <v>5062.5424096462548</v>
      </c>
      <c r="AP107" s="4">
        <f t="shared" si="103"/>
        <v>8530.4449732546509</v>
      </c>
      <c r="AQ107" s="4">
        <f t="shared" si="104"/>
        <v>0.2596943059511585</v>
      </c>
      <c r="AR107" s="4">
        <f t="shared" si="105"/>
        <v>-4.1804164324550719</v>
      </c>
      <c r="AS107" s="4">
        <f t="shared" si="106"/>
        <v>0.13611431144608066</v>
      </c>
      <c r="AT107" s="4">
        <f t="shared" si="107"/>
        <v>18.52249981707196</v>
      </c>
      <c r="AU107" s="4">
        <f t="shared" si="108"/>
        <v>10.759480677598509</v>
      </c>
      <c r="AV107" s="4">
        <f t="shared" si="109"/>
        <v>-0.1077649843534407</v>
      </c>
      <c r="AW107" s="4">
        <f t="shared" si="110"/>
        <v>-58.712540528463791</v>
      </c>
      <c r="AX107" s="4">
        <f t="shared" si="111"/>
        <v>-63.318104860558201</v>
      </c>
      <c r="AY107" s="4">
        <f t="shared" si="112"/>
        <v>64.905925843795771</v>
      </c>
      <c r="AZ107" s="4">
        <f t="shared" si="113"/>
        <v>209.38355966077927</v>
      </c>
      <c r="BA107" s="4">
        <f t="shared" si="114"/>
        <v>-1.9814373137754353</v>
      </c>
      <c r="BB107" s="4">
        <f t="shared" si="115"/>
        <v>-79.292921141559646</v>
      </c>
      <c r="BC107" s="4">
        <f t="shared" si="116"/>
        <v>-19.788771744178387</v>
      </c>
      <c r="BD107" s="4">
        <f t="shared" si="117"/>
        <v>212.71477804413675</v>
      </c>
      <c r="BE107" s="4">
        <f t="shared" si="118"/>
        <v>268.68065269213309</v>
      </c>
      <c r="BF107" s="4">
        <f t="shared" si="119"/>
        <v>-84.834886706319438</v>
      </c>
      <c r="BG107" s="4">
        <f t="shared" si="120"/>
        <v>-55.325009154448153</v>
      </c>
      <c r="BH107" s="4">
        <f t="shared" si="121"/>
        <v>-418.26240580153973</v>
      </c>
      <c r="BI107" s="4">
        <f t="shared" si="122"/>
        <v>-24.113289775753902</v>
      </c>
      <c r="BJ107" s="4">
        <f t="shared" si="123"/>
        <v>-284.3571115490592</v>
      </c>
      <c r="BK107" s="4">
        <f t="shared" si="124"/>
        <v>1.2067404756762183</v>
      </c>
      <c r="BL107" s="4">
        <f t="shared" si="125"/>
        <v>58.786044862985896</v>
      </c>
      <c r="BM107" s="4">
        <f t="shared" si="126"/>
        <v>60.846936016464355</v>
      </c>
      <c r="BN107" s="4">
        <f t="shared" si="127"/>
        <v>-105.55640309855937</v>
      </c>
      <c r="BO107" s="4">
        <f t="shared" si="128"/>
        <v>-485.69068184946866</v>
      </c>
      <c r="BP107" s="4">
        <f t="shared" si="129"/>
        <v>-140.48475651455198</v>
      </c>
      <c r="BQ107" s="4">
        <f t="shared" si="130"/>
        <v>-106.04848736246291</v>
      </c>
      <c r="BR107" s="4">
        <f t="shared" si="131"/>
        <v>269.60342437879552</v>
      </c>
      <c r="BS107" s="4">
        <f t="shared" si="132"/>
        <v>1047.3331993872268</v>
      </c>
      <c r="BT107" s="4">
        <f t="shared" si="133"/>
        <v>1959.677454908348</v>
      </c>
      <c r="BU107" s="4">
        <f t="shared" si="134"/>
        <v>31.642629464163008</v>
      </c>
      <c r="BV107" s="4">
        <f t="shared" si="135"/>
        <v>229.93612383351805</v>
      </c>
      <c r="BW107" s="4">
        <f t="shared" si="136"/>
        <v>-553.27735203665793</v>
      </c>
      <c r="BX107" s="4">
        <f t="shared" si="137"/>
        <v>-1436.8306877351672</v>
      </c>
      <c r="BY107" s="4">
        <f t="shared" si="138"/>
        <v>-1938.6695827927756</v>
      </c>
      <c r="BZ107" s="6">
        <f t="shared" si="139"/>
        <v>-1.1763768477146641</v>
      </c>
      <c r="CA107" s="7"/>
      <c r="CB107" s="6">
        <v>-1.1763827113095431</v>
      </c>
      <c r="CC107" s="6"/>
    </row>
    <row r="108" spans="1:81" x14ac:dyDescent="0.3">
      <c r="A108" s="4">
        <v>106</v>
      </c>
      <c r="B108" s="4">
        <v>641819</v>
      </c>
      <c r="C108" s="4">
        <v>3.403</v>
      </c>
      <c r="D108" s="4">
        <v>2.601</v>
      </c>
      <c r="E108" s="4">
        <v>0.80500000000000005</v>
      </c>
      <c r="F108" s="4">
        <v>3.4209999999999998</v>
      </c>
      <c r="H108" s="6">
        <v>-2618.81325553337</v>
      </c>
      <c r="I108" s="4">
        <f t="shared" si="70"/>
        <v>157.9427655463</v>
      </c>
      <c r="J108" s="4">
        <f t="shared" si="71"/>
        <v>-1280.0256068609999</v>
      </c>
      <c r="K108" s="4">
        <f t="shared" si="72"/>
        <v>1906.905413</v>
      </c>
      <c r="L108" s="4">
        <f t="shared" si="73"/>
        <v>11054.98243652</v>
      </c>
      <c r="M108" s="4">
        <f t="shared" si="74"/>
        <v>44.745088614675382</v>
      </c>
      <c r="N108" s="4">
        <f t="shared" si="75"/>
        <v>22.391005684563812</v>
      </c>
      <c r="O108" s="4">
        <f t="shared" si="76"/>
        <v>-188.55423030681999</v>
      </c>
      <c r="P108" s="4">
        <f t="shared" si="77"/>
        <v>-446.37021910257698</v>
      </c>
      <c r="Q108" s="4">
        <f t="shared" si="78"/>
        <v>-81.188889679957498</v>
      </c>
      <c r="R108" s="4">
        <f t="shared" si="79"/>
        <v>378.88780454972999</v>
      </c>
      <c r="S108" s="4">
        <f t="shared" si="80"/>
        <v>3764.7915427577068</v>
      </c>
      <c r="T108" s="4">
        <f t="shared" si="81"/>
        <v>-268.97620721615004</v>
      </c>
      <c r="U108" s="4">
        <f t="shared" si="82"/>
        <v>-5662.0708422855505</v>
      </c>
      <c r="V108" s="4">
        <f t="shared" si="83"/>
        <v>-17399.181477245696</v>
      </c>
      <c r="W108" s="4">
        <f t="shared" si="84"/>
        <v>-1.4260610812203534</v>
      </c>
      <c r="X108" s="4">
        <f t="shared" si="85"/>
        <v>3.9966554857689007</v>
      </c>
      <c r="Y108" s="4">
        <f t="shared" si="86"/>
        <v>5.5447444482263668</v>
      </c>
      <c r="Z108" s="4">
        <f t="shared" si="87"/>
        <v>-103.90128544762295</v>
      </c>
      <c r="AA108" s="4">
        <f t="shared" si="88"/>
        <v>5.3488794295220421</v>
      </c>
      <c r="AB108" s="4">
        <f t="shared" si="89"/>
        <v>-76.779825280689991</v>
      </c>
      <c r="AC108" s="4">
        <f t="shared" si="90"/>
        <v>1.0509230308325961</v>
      </c>
      <c r="AD108" s="4">
        <f t="shared" si="91"/>
        <v>180.93488698276042</v>
      </c>
      <c r="AE108" s="4">
        <f t="shared" si="92"/>
        <v>186.57157569899303</v>
      </c>
      <c r="AF108" s="4">
        <f t="shared" si="93"/>
        <v>475.74911485393943</v>
      </c>
      <c r="AG108" s="4">
        <f t="shared" si="94"/>
        <v>-7.6177292401543175</v>
      </c>
      <c r="AH108" s="4">
        <f t="shared" si="95"/>
        <v>86.053702888569973</v>
      </c>
      <c r="AI108" s="4">
        <f t="shared" si="96"/>
        <v>111.55880433357756</v>
      </c>
      <c r="AJ108" s="4">
        <f t="shared" si="97"/>
        <v>-24.78029248502262</v>
      </c>
      <c r="AK108" s="4">
        <f t="shared" si="98"/>
        <v>-889.34660727968287</v>
      </c>
      <c r="AL108" s="4">
        <f t="shared" si="99"/>
        <v>-3549.678698274281</v>
      </c>
      <c r="AM108" s="4">
        <f t="shared" si="100"/>
        <v>-157.02970723947854</v>
      </c>
      <c r="AN108" s="4">
        <f t="shared" si="101"/>
        <v>716.88566246343771</v>
      </c>
      <c r="AO108" s="4">
        <f t="shared" si="102"/>
        <v>5631.7943680079916</v>
      </c>
      <c r="AP108" s="4">
        <f t="shared" si="103"/>
        <v>11990.127746710667</v>
      </c>
      <c r="AQ108" s="4">
        <f t="shared" si="104"/>
        <v>9.8968312826423349E-3</v>
      </c>
      <c r="AR108" s="4">
        <f t="shared" si="105"/>
        <v>-0.14048141558252245</v>
      </c>
      <c r="AS108" s="4">
        <f t="shared" si="106"/>
        <v>1.0408523494104378E-2</v>
      </c>
      <c r="AT108" s="4">
        <f t="shared" si="107"/>
        <v>1.7896122548936209</v>
      </c>
      <c r="AU108" s="4">
        <f t="shared" si="108"/>
        <v>0.31882783342959281</v>
      </c>
      <c r="AV108" s="4">
        <f t="shared" si="109"/>
        <v>-7.2665555154909347E-3</v>
      </c>
      <c r="AW108" s="4">
        <f t="shared" si="110"/>
        <v>-5.0021396042782476</v>
      </c>
      <c r="AX108" s="4">
        <f t="shared" si="111"/>
        <v>-9.7154929522555538</v>
      </c>
      <c r="AY108" s="4">
        <f t="shared" si="112"/>
        <v>12.583321480891632</v>
      </c>
      <c r="AZ108" s="4">
        <f t="shared" si="113"/>
        <v>51.289389701592256</v>
      </c>
      <c r="BA108" s="4">
        <f t="shared" si="114"/>
        <v>-5.1773895714831285E-2</v>
      </c>
      <c r="BB108" s="4">
        <f t="shared" si="115"/>
        <v>-4.7146660108148142</v>
      </c>
      <c r="BC108" s="4">
        <f t="shared" si="116"/>
        <v>-1.4866521516905213</v>
      </c>
      <c r="BD108" s="4">
        <f t="shared" si="117"/>
        <v>28.780622665106762</v>
      </c>
      <c r="BE108" s="4">
        <f t="shared" si="118"/>
        <v>45.931743082174307</v>
      </c>
      <c r="BF108" s="4">
        <f t="shared" si="119"/>
        <v>-18.324200121186397</v>
      </c>
      <c r="BG108" s="4">
        <f t="shared" si="120"/>
        <v>-17.03374042532878</v>
      </c>
      <c r="BH108" s="4">
        <f t="shared" si="121"/>
        <v>-162.708923261438</v>
      </c>
      <c r="BI108" s="4">
        <f t="shared" si="122"/>
        <v>-11.852037441892499</v>
      </c>
      <c r="BJ108" s="4">
        <f t="shared" si="123"/>
        <v>-176.59347525155951</v>
      </c>
      <c r="BK108" s="4">
        <f t="shared" si="124"/>
        <v>2.7804172646637402E-2</v>
      </c>
      <c r="BL108" s="4">
        <f t="shared" si="125"/>
        <v>3.0821682768465615</v>
      </c>
      <c r="BM108" s="4">
        <f t="shared" si="126"/>
        <v>4.0308332094311972</v>
      </c>
      <c r="BN108" s="4">
        <f t="shared" si="127"/>
        <v>-12.593681193004944</v>
      </c>
      <c r="BO108" s="4">
        <f t="shared" si="128"/>
        <v>-73.215307907703775</v>
      </c>
      <c r="BP108" s="4">
        <f t="shared" si="129"/>
        <v>-26.757487696503055</v>
      </c>
      <c r="BQ108" s="4">
        <f t="shared" si="130"/>
        <v>-28.791122543011046</v>
      </c>
      <c r="BR108" s="4">
        <f t="shared" si="131"/>
        <v>92.481216419235167</v>
      </c>
      <c r="BS108" s="4">
        <f t="shared" si="132"/>
        <v>453.92803857524166</v>
      </c>
      <c r="BT108" s="4">
        <f t="shared" si="133"/>
        <v>1073.1507783522352</v>
      </c>
      <c r="BU108" s="4">
        <f t="shared" si="134"/>
        <v>19.548466440425909</v>
      </c>
      <c r="BV108" s="4">
        <f t="shared" si="135"/>
        <v>179.48218292643739</v>
      </c>
      <c r="BW108" s="4">
        <f t="shared" si="136"/>
        <v>-545.67120874714692</v>
      </c>
      <c r="BX108" s="4">
        <f t="shared" si="137"/>
        <v>-1790.472896844419</v>
      </c>
      <c r="BY108" s="4">
        <f t="shared" si="138"/>
        <v>-3052.3895794793052</v>
      </c>
      <c r="BZ108" s="6">
        <f t="shared" si="139"/>
        <v>-0.55463630499343708</v>
      </c>
      <c r="CA108" s="7"/>
      <c r="CB108" s="6">
        <v>-0.55463411440678101</v>
      </c>
      <c r="CC108" s="6"/>
    </row>
    <row r="109" spans="1:81" x14ac:dyDescent="0.3">
      <c r="A109" s="4">
        <v>107</v>
      </c>
      <c r="B109" s="4">
        <v>45485141</v>
      </c>
      <c r="C109" s="4">
        <v>2.1440000000000001</v>
      </c>
      <c r="D109" s="4">
        <v>3.109</v>
      </c>
      <c r="E109" s="4">
        <v>0.42299999999999999</v>
      </c>
      <c r="F109" s="4">
        <v>3.1320000000000001</v>
      </c>
      <c r="H109" s="6">
        <v>-2618.81325553337</v>
      </c>
      <c r="I109" s="4">
        <f t="shared" si="70"/>
        <v>99.509047702400011</v>
      </c>
      <c r="J109" s="4">
        <f t="shared" si="71"/>
        <v>-1530.0267634490001</v>
      </c>
      <c r="K109" s="4">
        <f t="shared" si="72"/>
        <v>1002.0136517999999</v>
      </c>
      <c r="L109" s="4">
        <f t="shared" si="73"/>
        <v>10121.07716784</v>
      </c>
      <c r="M109" s="4">
        <f t="shared" si="74"/>
        <v>17.761148130283523</v>
      </c>
      <c r="N109" s="4">
        <f t="shared" si="75"/>
        <v>16.862299624985919</v>
      </c>
      <c r="O109" s="4">
        <f t="shared" si="76"/>
        <v>-62.422850906495995</v>
      </c>
      <c r="P109" s="4">
        <f t="shared" si="77"/>
        <v>-257.47005322483204</v>
      </c>
      <c r="Q109" s="4">
        <f t="shared" si="78"/>
        <v>-115.9998270810575</v>
      </c>
      <c r="R109" s="4">
        <f t="shared" si="79"/>
        <v>237.97727294470198</v>
      </c>
      <c r="S109" s="4">
        <f t="shared" si="80"/>
        <v>4119.9313859733966</v>
      </c>
      <c r="T109" s="4">
        <f t="shared" si="81"/>
        <v>-74.268189932453993</v>
      </c>
      <c r="U109" s="4">
        <f t="shared" si="82"/>
        <v>-2723.8830992391604</v>
      </c>
      <c r="V109" s="4">
        <f t="shared" si="83"/>
        <v>-14583.648099124799</v>
      </c>
      <c r="W109" s="4">
        <f t="shared" si="84"/>
        <v>-0.35663718520995852</v>
      </c>
      <c r="X109" s="4">
        <f t="shared" si="85"/>
        <v>1.8962812336199164</v>
      </c>
      <c r="Y109" s="4">
        <f t="shared" si="86"/>
        <v>1.1565161068887706</v>
      </c>
      <c r="Z109" s="4">
        <f t="shared" si="87"/>
        <v>-37.758546125764497</v>
      </c>
      <c r="AA109" s="4">
        <f t="shared" si="88"/>
        <v>4.8148901143052383</v>
      </c>
      <c r="AB109" s="4">
        <f t="shared" si="89"/>
        <v>-30.383290658679982</v>
      </c>
      <c r="AC109" s="4">
        <f t="shared" si="90"/>
        <v>0.72457407423604792</v>
      </c>
      <c r="AD109" s="4">
        <f t="shared" si="91"/>
        <v>31.475607383083219</v>
      </c>
      <c r="AE109" s="4">
        <f t="shared" si="92"/>
        <v>56.548550543392629</v>
      </c>
      <c r="AF109" s="4">
        <f t="shared" si="93"/>
        <v>251.23386479828108</v>
      </c>
      <c r="AG109" s="4">
        <f t="shared" si="94"/>
        <v>-13.009680824561853</v>
      </c>
      <c r="AH109" s="4">
        <f t="shared" si="95"/>
        <v>64.606288057634345</v>
      </c>
      <c r="AI109" s="4">
        <f t="shared" si="96"/>
        <v>145.92619881776002</v>
      </c>
      <c r="AJ109" s="4">
        <f t="shared" si="97"/>
        <v>-8.1785398093554154</v>
      </c>
      <c r="AK109" s="4">
        <f t="shared" si="98"/>
        <v>-511.40455122282151</v>
      </c>
      <c r="AL109" s="4">
        <f t="shared" si="99"/>
        <v>-3556.3686450463392</v>
      </c>
      <c r="AM109" s="4">
        <f t="shared" si="100"/>
        <v>-22.783229348522791</v>
      </c>
      <c r="AN109" s="4">
        <f t="shared" si="101"/>
        <v>181.22059329710876</v>
      </c>
      <c r="AO109" s="4">
        <f t="shared" si="102"/>
        <v>2480.4394764438694</v>
      </c>
      <c r="AP109" s="4">
        <f t="shared" si="103"/>
        <v>9200.8901961018</v>
      </c>
      <c r="AQ109" s="4">
        <f t="shared" si="104"/>
        <v>1.559363966287408E-3</v>
      </c>
      <c r="AR109" s="4">
        <f t="shared" si="105"/>
        <v>-4.1994048013233233E-2</v>
      </c>
      <c r="AS109" s="4">
        <f t="shared" si="106"/>
        <v>1.3677984574533592E-3</v>
      </c>
      <c r="AT109" s="4">
        <f t="shared" si="107"/>
        <v>0.40974731842879253</v>
      </c>
      <c r="AU109" s="4">
        <f t="shared" si="108"/>
        <v>0.18081840395660945</v>
      </c>
      <c r="AV109" s="4">
        <f t="shared" si="109"/>
        <v>-1.8116700992146751E-3</v>
      </c>
      <c r="AW109" s="4">
        <f t="shared" si="110"/>
        <v>-2.1728538763265557</v>
      </c>
      <c r="AX109" s="4">
        <f t="shared" si="111"/>
        <v>-1.0648280402081125</v>
      </c>
      <c r="AY109" s="4">
        <f t="shared" si="112"/>
        <v>2.4028912847236947</v>
      </c>
      <c r="AZ109" s="4">
        <f t="shared" si="113"/>
        <v>17.064381569511472</v>
      </c>
      <c r="BA109" s="4">
        <f t="shared" si="114"/>
        <v>-5.5707643294085361E-2</v>
      </c>
      <c r="BB109" s="4">
        <f t="shared" si="115"/>
        <v>-2.2300725457203088</v>
      </c>
      <c r="BC109" s="4">
        <f t="shared" si="116"/>
        <v>-1.225184840627936</v>
      </c>
      <c r="BD109" s="4">
        <f t="shared" si="117"/>
        <v>5.9845618728083618</v>
      </c>
      <c r="BE109" s="4">
        <f t="shared" si="118"/>
        <v>16.640612015931985</v>
      </c>
      <c r="BF109" s="4">
        <f t="shared" si="119"/>
        <v>-11.566596520912805</v>
      </c>
      <c r="BG109" s="4">
        <f t="shared" si="120"/>
        <v>-1.5570634766071243</v>
      </c>
      <c r="BH109" s="4">
        <f t="shared" si="121"/>
        <v>-25.91384496916697</v>
      </c>
      <c r="BI109" s="4">
        <f t="shared" si="122"/>
        <v>-3.2888017292800003</v>
      </c>
      <c r="BJ109" s="4">
        <f t="shared" si="123"/>
        <v>-85.377517507244761</v>
      </c>
      <c r="BK109" s="4">
        <f t="shared" si="124"/>
        <v>5.6758571413322668E-2</v>
      </c>
      <c r="BL109" s="4">
        <f t="shared" si="125"/>
        <v>2.7659348269154518</v>
      </c>
      <c r="BM109" s="4">
        <f t="shared" si="126"/>
        <v>6.3023804565223012</v>
      </c>
      <c r="BN109" s="4">
        <f t="shared" si="127"/>
        <v>-4.9682381884899014</v>
      </c>
      <c r="BO109" s="4">
        <f t="shared" si="128"/>
        <v>-50.324074782430849</v>
      </c>
      <c r="BP109" s="4">
        <f t="shared" si="129"/>
        <v>-32.043757209777461</v>
      </c>
      <c r="BQ109" s="4">
        <f t="shared" si="130"/>
        <v>-4.9931248892992866</v>
      </c>
      <c r="BR109" s="4">
        <f t="shared" si="131"/>
        <v>27.94419199421025</v>
      </c>
      <c r="BS109" s="4">
        <f t="shared" si="132"/>
        <v>238.9732140727364</v>
      </c>
      <c r="BT109" s="4">
        <f t="shared" si="133"/>
        <v>984.34457552537071</v>
      </c>
      <c r="BU109" s="4">
        <f t="shared" si="134"/>
        <v>1.4903581302074529</v>
      </c>
      <c r="BV109" s="4">
        <f t="shared" si="135"/>
        <v>23.840945950824491</v>
      </c>
      <c r="BW109" s="4">
        <f t="shared" si="136"/>
        <v>-126.28662942074813</v>
      </c>
      <c r="BX109" s="4">
        <f t="shared" si="137"/>
        <v>-721.96854405399358</v>
      </c>
      <c r="BY109" s="4">
        <f t="shared" si="138"/>
        <v>-2144.4438493771004</v>
      </c>
      <c r="BZ109" s="6">
        <f t="shared" si="139"/>
        <v>-1.8304433580342447</v>
      </c>
      <c r="CA109" s="7"/>
      <c r="CB109" s="6">
        <v>-1.8304399256144279</v>
      </c>
      <c r="CC109" s="6"/>
    </row>
    <row r="110" spans="1:81" x14ac:dyDescent="0.3">
      <c r="A110" s="4">
        <v>108</v>
      </c>
      <c r="B110" s="4">
        <v>38943775</v>
      </c>
      <c r="C110" s="4">
        <v>3.1579999999999999</v>
      </c>
      <c r="D110" s="4">
        <v>4.74</v>
      </c>
      <c r="E110" s="4">
        <v>0.58299999999999996</v>
      </c>
      <c r="F110" s="4">
        <v>3.8210000000000002</v>
      </c>
      <c r="H110" s="6">
        <v>-2618.81325553337</v>
      </c>
      <c r="I110" s="4">
        <f t="shared" si="70"/>
        <v>146.5716290318</v>
      </c>
      <c r="J110" s="4">
        <f t="shared" si="71"/>
        <v>-2332.68795714</v>
      </c>
      <c r="K110" s="4">
        <f t="shared" si="72"/>
        <v>1381.0259077999999</v>
      </c>
      <c r="L110" s="4">
        <f t="shared" si="73"/>
        <v>12347.58488452</v>
      </c>
      <c r="M110" s="4">
        <f t="shared" si="74"/>
        <v>38.534144858870476</v>
      </c>
      <c r="N110" s="4">
        <f t="shared" si="75"/>
        <v>37.867075561568399</v>
      </c>
      <c r="O110" s="4">
        <f t="shared" si="76"/>
        <v>-126.72407546031199</v>
      </c>
      <c r="P110" s="4">
        <f t="shared" si="77"/>
        <v>-462.667881513922</v>
      </c>
      <c r="Q110" s="4">
        <f t="shared" si="78"/>
        <v>-269.63271272700001</v>
      </c>
      <c r="R110" s="4">
        <f t="shared" si="79"/>
        <v>500.05904888411999</v>
      </c>
      <c r="S110" s="4">
        <f t="shared" si="80"/>
        <v>7663.0716670951815</v>
      </c>
      <c r="T110" s="4">
        <f t="shared" si="81"/>
        <v>-141.07797398941398</v>
      </c>
      <c r="U110" s="4">
        <f t="shared" si="82"/>
        <v>-4580.06811321433</v>
      </c>
      <c r="V110" s="4">
        <f t="shared" si="83"/>
        <v>-21705.847374605699</v>
      </c>
      <c r="W110" s="4">
        <f t="shared" si="84"/>
        <v>-1.1396950378648363</v>
      </c>
      <c r="X110" s="4">
        <f t="shared" si="85"/>
        <v>6.2724189185701711</v>
      </c>
      <c r="Y110" s="4">
        <f t="shared" si="86"/>
        <v>3.458235481067458</v>
      </c>
      <c r="Z110" s="4">
        <f t="shared" si="87"/>
        <v>-99.941355913234219</v>
      </c>
      <c r="AA110" s="4">
        <f t="shared" si="88"/>
        <v>16.48500047502904</v>
      </c>
      <c r="AB110" s="4">
        <f t="shared" si="89"/>
        <v>-94.038990843522768</v>
      </c>
      <c r="AC110" s="4">
        <f t="shared" si="90"/>
        <v>1.9851029703300631</v>
      </c>
      <c r="AD110" s="4">
        <f t="shared" si="91"/>
        <v>88.067940196968536</v>
      </c>
      <c r="AE110" s="4">
        <f t="shared" si="92"/>
        <v>140.05296060093789</v>
      </c>
      <c r="AF110" s="4">
        <f t="shared" si="93"/>
        <v>550.77737582896623</v>
      </c>
      <c r="AG110" s="4">
        <f t="shared" si="94"/>
        <v>-46.10409492339447</v>
      </c>
      <c r="AH110" s="4">
        <f t="shared" si="95"/>
        <v>206.97515480598264</v>
      </c>
      <c r="AI110" s="4">
        <f t="shared" si="96"/>
        <v>413.81267929205274</v>
      </c>
      <c r="AJ110" s="4">
        <f t="shared" si="97"/>
        <v>-23.685893181261161</v>
      </c>
      <c r="AK110" s="4">
        <f t="shared" si="98"/>
        <v>-1311.0090208395338</v>
      </c>
      <c r="AL110" s="4">
        <f t="shared" si="99"/>
        <v>-8070.0264999875453</v>
      </c>
      <c r="AM110" s="4">
        <f t="shared" si="100"/>
        <v>-59.648543590646938</v>
      </c>
      <c r="AN110" s="4">
        <f t="shared" si="101"/>
        <v>419.97090775924573</v>
      </c>
      <c r="AO110" s="4">
        <f t="shared" si="102"/>
        <v>5088.2376897401373</v>
      </c>
      <c r="AP110" s="4">
        <f t="shared" si="103"/>
        <v>16706.893368795416</v>
      </c>
      <c r="AQ110" s="4">
        <f t="shared" si="104"/>
        <v>7.3400137410679798E-3</v>
      </c>
      <c r="AR110" s="4">
        <f t="shared" si="105"/>
        <v>-0.20460083134425203</v>
      </c>
      <c r="AS110" s="4">
        <f t="shared" si="106"/>
        <v>6.0243796239901736E-3</v>
      </c>
      <c r="AT110" s="4">
        <f t="shared" si="107"/>
        <v>1.5974726752416541</v>
      </c>
      <c r="AU110" s="4">
        <f t="shared" si="108"/>
        <v>0.91186922767309497</v>
      </c>
      <c r="AV110" s="4">
        <f t="shared" si="109"/>
        <v>-8.2592309987865598E-3</v>
      </c>
      <c r="AW110" s="4">
        <f t="shared" si="110"/>
        <v>-8.7683547945761902</v>
      </c>
      <c r="AX110" s="4">
        <f t="shared" si="111"/>
        <v>-4.3884438202722258</v>
      </c>
      <c r="AY110" s="4">
        <f t="shared" si="112"/>
        <v>8.7658146461568052</v>
      </c>
      <c r="AZ110" s="4">
        <f t="shared" si="113"/>
        <v>55.10307200787787</v>
      </c>
      <c r="BA110" s="4">
        <f t="shared" si="114"/>
        <v>-0.29078700178952871</v>
      </c>
      <c r="BB110" s="4">
        <f t="shared" si="115"/>
        <v>-10.523246957579364</v>
      </c>
      <c r="BC110" s="4">
        <f t="shared" si="116"/>
        <v>-5.1175192243902545</v>
      </c>
      <c r="BD110" s="4">
        <f t="shared" si="117"/>
        <v>25.528993952259349</v>
      </c>
      <c r="BE110" s="4">
        <f t="shared" si="118"/>
        <v>62.834437399850728</v>
      </c>
      <c r="BF110" s="4">
        <f t="shared" si="119"/>
        <v>-38.659934971592214</v>
      </c>
      <c r="BG110" s="4">
        <f t="shared" si="120"/>
        <v>-6.0045190161229884</v>
      </c>
      <c r="BH110" s="4">
        <f t="shared" si="121"/>
        <v>-88.456725784943544</v>
      </c>
      <c r="BI110" s="4">
        <f t="shared" si="122"/>
        <v>-9.9371945560674853</v>
      </c>
      <c r="BJ110" s="4">
        <f t="shared" si="123"/>
        <v>-228.3477414238055</v>
      </c>
      <c r="BK110" s="4">
        <f t="shared" si="124"/>
        <v>0.3066633915525801</v>
      </c>
      <c r="BL110" s="4">
        <f t="shared" si="125"/>
        <v>13.509615510519509</v>
      </c>
      <c r="BM110" s="4">
        <f t="shared" si="126"/>
        <v>27.247882631636521</v>
      </c>
      <c r="BN110" s="4">
        <f t="shared" si="127"/>
        <v>-21.936837731526271</v>
      </c>
      <c r="BO110" s="4">
        <f t="shared" si="128"/>
        <v>-196.68648088278724</v>
      </c>
      <c r="BP110" s="4">
        <f t="shared" si="129"/>
        <v>-110.85856187678856</v>
      </c>
      <c r="BQ110" s="4">
        <f t="shared" si="130"/>
        <v>-19.930335552313608</v>
      </c>
      <c r="BR110" s="4">
        <f t="shared" si="131"/>
        <v>98.732659437958404</v>
      </c>
      <c r="BS110" s="4">
        <f t="shared" si="132"/>
        <v>747.38710461871949</v>
      </c>
      <c r="BT110" s="4">
        <f t="shared" si="133"/>
        <v>2725.0258404124347</v>
      </c>
      <c r="BU110" s="4">
        <f t="shared" si="134"/>
        <v>5.3777844448870118</v>
      </c>
      <c r="BV110" s="4">
        <f t="shared" si="135"/>
        <v>76.148846599938963</v>
      </c>
      <c r="BW110" s="4">
        <f t="shared" si="136"/>
        <v>-357.04611795434033</v>
      </c>
      <c r="BX110" s="4">
        <f t="shared" si="137"/>
        <v>-1806.8092954386977</v>
      </c>
      <c r="BY110" s="4">
        <f t="shared" si="138"/>
        <v>-4750.4616482386245</v>
      </c>
      <c r="BZ110" s="6">
        <f t="shared" si="139"/>
        <v>-1.3554298232866131</v>
      </c>
      <c r="CA110" s="7"/>
      <c r="CB110" s="6">
        <v>-1.355430588138461</v>
      </c>
      <c r="CC110" s="6"/>
    </row>
    <row r="111" spans="1:81" x14ac:dyDescent="0.3">
      <c r="A111" s="4">
        <v>109</v>
      </c>
      <c r="B111" s="4">
        <v>46225047</v>
      </c>
      <c r="C111" s="4">
        <v>4.5019999999999998</v>
      </c>
      <c r="D111" s="4">
        <v>4.1449999999999996</v>
      </c>
      <c r="E111" s="4">
        <v>0.59599999999999997</v>
      </c>
      <c r="F111" s="4">
        <v>3.5009999999999999</v>
      </c>
      <c r="H111" s="6">
        <v>-2618.81325553337</v>
      </c>
      <c r="I111" s="4">
        <f t="shared" si="70"/>
        <v>208.9504350542</v>
      </c>
      <c r="J111" s="4">
        <f t="shared" si="71"/>
        <v>-2039.8716418449999</v>
      </c>
      <c r="K111" s="4">
        <f t="shared" si="72"/>
        <v>1411.8206535999998</v>
      </c>
      <c r="L111" s="4">
        <f t="shared" si="73"/>
        <v>11313.50292612</v>
      </c>
      <c r="M111" s="4">
        <f t="shared" si="74"/>
        <v>78.312746555203276</v>
      </c>
      <c r="N111" s="4">
        <f t="shared" si="75"/>
        <v>47.206448091683292</v>
      </c>
      <c r="O111" s="4">
        <f t="shared" si="76"/>
        <v>-184.68439514473596</v>
      </c>
      <c r="P111" s="4">
        <f t="shared" si="77"/>
        <v>-604.33505944345791</v>
      </c>
      <c r="Q111" s="4">
        <f t="shared" si="78"/>
        <v>-206.18875083143749</v>
      </c>
      <c r="R111" s="4">
        <f t="shared" si="79"/>
        <v>447.03876918611991</v>
      </c>
      <c r="S111" s="4">
        <f t="shared" si="80"/>
        <v>6139.9403718537151</v>
      </c>
      <c r="T111" s="4">
        <f t="shared" si="81"/>
        <v>-147.43976300681598</v>
      </c>
      <c r="U111" s="4">
        <f t="shared" si="82"/>
        <v>-4290.0733217847601</v>
      </c>
      <c r="V111" s="4">
        <f t="shared" si="83"/>
        <v>-18222.455195597697</v>
      </c>
      <c r="W111" s="4">
        <f t="shared" si="84"/>
        <v>-3.3019367687236456</v>
      </c>
      <c r="X111" s="4">
        <f t="shared" si="85"/>
        <v>11.147256110355306</v>
      </c>
      <c r="Y111" s="4">
        <f t="shared" si="86"/>
        <v>7.1848713674017084</v>
      </c>
      <c r="Z111" s="4">
        <f t="shared" si="87"/>
        <v>-186.10028589792108</v>
      </c>
      <c r="AA111" s="4">
        <f t="shared" si="88"/>
        <v>17.971102258898142</v>
      </c>
      <c r="AB111" s="4">
        <f t="shared" si="89"/>
        <v>-119.84646349912479</v>
      </c>
      <c r="AC111" s="4">
        <f t="shared" si="90"/>
        <v>2.2674497460618719</v>
      </c>
      <c r="AD111" s="4">
        <f t="shared" si="91"/>
        <v>131.20990280736973</v>
      </c>
      <c r="AE111" s="4">
        <f t="shared" si="92"/>
        <v>187.01585922644358</v>
      </c>
      <c r="AF111" s="4">
        <f t="shared" si="93"/>
        <v>659.17329369336994</v>
      </c>
      <c r="AG111" s="4">
        <f t="shared" si="94"/>
        <v>-30.830323401371949</v>
      </c>
      <c r="AH111" s="4">
        <f t="shared" si="95"/>
        <v>161.8036474695372</v>
      </c>
      <c r="AI111" s="4">
        <f t="shared" si="96"/>
        <v>289.94208183447336</v>
      </c>
      <c r="AJ111" s="4">
        <f t="shared" si="97"/>
        <v>-21.646683611873211</v>
      </c>
      <c r="AK111" s="4">
        <f t="shared" si="98"/>
        <v>-1073.8525463344847</v>
      </c>
      <c r="AL111" s="4">
        <f t="shared" si="99"/>
        <v>-5924.4944941461399</v>
      </c>
      <c r="AM111" s="4">
        <f t="shared" si="100"/>
        <v>-63.728391803226359</v>
      </c>
      <c r="AN111" s="4">
        <f t="shared" si="101"/>
        <v>402.1514972980587</v>
      </c>
      <c r="AO111" s="4">
        <f t="shared" si="102"/>
        <v>4366.9200580997958</v>
      </c>
      <c r="AP111" s="4">
        <f t="shared" si="103"/>
        <v>12851.118255790041</v>
      </c>
      <c r="AQ111" s="4">
        <f t="shared" si="104"/>
        <v>3.0315890721911189E-2</v>
      </c>
      <c r="AR111" s="4">
        <f t="shared" si="105"/>
        <v>-0.51836262707677327</v>
      </c>
      <c r="AS111" s="4">
        <f t="shared" si="106"/>
        <v>1.7843092664676263E-2</v>
      </c>
      <c r="AT111" s="4">
        <f t="shared" si="107"/>
        <v>4.2406126676152676</v>
      </c>
      <c r="AU111" s="4">
        <f t="shared" si="108"/>
        <v>1.4171364756533895</v>
      </c>
      <c r="AV111" s="4">
        <f t="shared" si="109"/>
        <v>-1.5005492048776454E-2</v>
      </c>
      <c r="AW111" s="4">
        <f t="shared" si="110"/>
        <v>-14.277958346948608</v>
      </c>
      <c r="AX111" s="4">
        <f t="shared" si="111"/>
        <v>-9.3207891337969553</v>
      </c>
      <c r="AY111" s="4">
        <f t="shared" si="112"/>
        <v>16.686751223735119</v>
      </c>
      <c r="AZ111" s="4">
        <f t="shared" si="113"/>
        <v>94.014033928823238</v>
      </c>
      <c r="BA111" s="4">
        <f t="shared" si="114"/>
        <v>-0.27720874982476745</v>
      </c>
      <c r="BB111" s="4">
        <f t="shared" si="115"/>
        <v>-11.727710015040721</v>
      </c>
      <c r="BC111" s="4">
        <f t="shared" si="116"/>
        <v>-5.1116405571862327</v>
      </c>
      <c r="BD111" s="4">
        <f t="shared" si="117"/>
        <v>33.260491958326249</v>
      </c>
      <c r="BE111" s="4">
        <f t="shared" si="118"/>
        <v>73.371950966820137</v>
      </c>
      <c r="BF111" s="4">
        <f t="shared" si="119"/>
        <v>-40.460460701500786</v>
      </c>
      <c r="BG111" s="4">
        <f t="shared" si="120"/>
        <v>-9.1454420986875711</v>
      </c>
      <c r="BH111" s="4">
        <f t="shared" si="121"/>
        <v>-120.75210436499079</v>
      </c>
      <c r="BI111" s="4">
        <f t="shared" si="122"/>
        <v>-12.158080341140009</v>
      </c>
      <c r="BJ111" s="4">
        <f t="shared" si="123"/>
        <v>-250.40056507278936</v>
      </c>
      <c r="BK111" s="4">
        <f t="shared" si="124"/>
        <v>0.17932742289557596</v>
      </c>
      <c r="BL111" s="4">
        <f t="shared" si="125"/>
        <v>9.2354757777581131</v>
      </c>
      <c r="BM111" s="4">
        <f t="shared" si="126"/>
        <v>16.694999586831727</v>
      </c>
      <c r="BN111" s="4">
        <f t="shared" si="127"/>
        <v>-17.531610733046847</v>
      </c>
      <c r="BO111" s="4">
        <f t="shared" si="128"/>
        <v>-140.88335146283475</v>
      </c>
      <c r="BP111" s="4">
        <f t="shared" si="129"/>
        <v>-71.169149021542097</v>
      </c>
      <c r="BQ111" s="4">
        <f t="shared" si="130"/>
        <v>-18.620610630614529</v>
      </c>
      <c r="BR111" s="4">
        <f t="shared" si="131"/>
        <v>82.675629711686952</v>
      </c>
      <c r="BS111" s="4">
        <f t="shared" si="132"/>
        <v>560.91834584956848</v>
      </c>
      <c r="BT111" s="4">
        <f t="shared" si="133"/>
        <v>1832.9981951125251</v>
      </c>
      <c r="BU111" s="4">
        <f t="shared" si="134"/>
        <v>5.8737331280406861</v>
      </c>
      <c r="BV111" s="4">
        <f t="shared" si="135"/>
        <v>74.543798238142458</v>
      </c>
      <c r="BW111" s="4">
        <f t="shared" si="136"/>
        <v>-313.26355463653107</v>
      </c>
      <c r="BX111" s="4">
        <f t="shared" si="137"/>
        <v>-1420.8074982414207</v>
      </c>
      <c r="BY111" s="4">
        <f t="shared" si="138"/>
        <v>-3348.0821737535989</v>
      </c>
      <c r="BZ111" s="6">
        <f t="shared" si="139"/>
        <v>-1.3495174362224134</v>
      </c>
      <c r="CA111" s="7"/>
      <c r="CB111" s="6">
        <v>-1.3495168532385831</v>
      </c>
      <c r="CC111" s="6"/>
    </row>
    <row r="112" spans="1:81" x14ac:dyDescent="0.3">
      <c r="A112" s="4">
        <v>110</v>
      </c>
      <c r="B112" s="4">
        <v>24850676</v>
      </c>
      <c r="C112" s="4">
        <v>4.8330000000000002</v>
      </c>
      <c r="D112" s="4">
        <v>3.6869999999999998</v>
      </c>
      <c r="E112" s="4">
        <v>0.91100000000000003</v>
      </c>
      <c r="F112" s="4">
        <v>2.6539999999999999</v>
      </c>
      <c r="H112" s="6">
        <v>-2618.81325553337</v>
      </c>
      <c r="I112" s="4">
        <f t="shared" si="70"/>
        <v>224.31307254930002</v>
      </c>
      <c r="J112" s="4">
        <f t="shared" si="71"/>
        <v>-1814.4768983070001</v>
      </c>
      <c r="K112" s="4">
        <f t="shared" si="72"/>
        <v>2158.0010326000001</v>
      </c>
      <c r="L112" s="4">
        <f t="shared" si="73"/>
        <v>8576.4172424799999</v>
      </c>
      <c r="M112" s="4">
        <f t="shared" si="74"/>
        <v>90.251632145008983</v>
      </c>
      <c r="N112" s="4">
        <f t="shared" si="75"/>
        <v>45.077646310426168</v>
      </c>
      <c r="O112" s="4">
        <f t="shared" si="76"/>
        <v>-303.04953579920402</v>
      </c>
      <c r="P112" s="4">
        <f t="shared" si="77"/>
        <v>-491.81061947257797</v>
      </c>
      <c r="Q112" s="4">
        <f t="shared" si="78"/>
        <v>-163.14064422531749</v>
      </c>
      <c r="R112" s="4">
        <f t="shared" si="79"/>
        <v>607.80729558220196</v>
      </c>
      <c r="S112" s="4">
        <f t="shared" si="80"/>
        <v>4140.2023161963662</v>
      </c>
      <c r="T112" s="4">
        <f t="shared" si="81"/>
        <v>-344.47591199264599</v>
      </c>
      <c r="U112" s="4">
        <f t="shared" si="82"/>
        <v>-4971.0214804261404</v>
      </c>
      <c r="V112" s="4">
        <f t="shared" si="83"/>
        <v>-10471.876376653199</v>
      </c>
      <c r="W112" s="4">
        <f t="shared" si="84"/>
        <v>-4.0850997518144814</v>
      </c>
      <c r="X112" s="4">
        <f t="shared" si="85"/>
        <v>11.427183223368834</v>
      </c>
      <c r="Y112" s="4">
        <f t="shared" si="86"/>
        <v>12.656502913369341</v>
      </c>
      <c r="Z112" s="4">
        <f t="shared" si="87"/>
        <v>-162.58424441481972</v>
      </c>
      <c r="AA112" s="4">
        <f t="shared" si="88"/>
        <v>15.264522568216867</v>
      </c>
      <c r="AB112" s="4">
        <f t="shared" si="89"/>
        <v>-174.92716091881954</v>
      </c>
      <c r="AC112" s="4">
        <f t="shared" si="90"/>
        <v>1.6413695996195052</v>
      </c>
      <c r="AD112" s="4">
        <f t="shared" si="91"/>
        <v>329.09565827639966</v>
      </c>
      <c r="AE112" s="4">
        <f t="shared" si="92"/>
        <v>232.63264918566736</v>
      </c>
      <c r="AF112" s="4">
        <f t="shared" si="93"/>
        <v>406.65725397169854</v>
      </c>
      <c r="AG112" s="4">
        <f t="shared" si="94"/>
        <v>-21.698209023573604</v>
      </c>
      <c r="AH112" s="4">
        <f t="shared" si="95"/>
        <v>195.68504215750011</v>
      </c>
      <c r="AI112" s="4">
        <f t="shared" si="96"/>
        <v>173.90708120067603</v>
      </c>
      <c r="AJ112" s="4">
        <f t="shared" si="97"/>
        <v>-44.986707258140633</v>
      </c>
      <c r="AK112" s="4">
        <f t="shared" si="98"/>
        <v>-1106.8128152813576</v>
      </c>
      <c r="AL112" s="4">
        <f t="shared" si="99"/>
        <v>-3028.4298517838961</v>
      </c>
      <c r="AM112" s="4">
        <f t="shared" si="100"/>
        <v>-227.58797457249884</v>
      </c>
      <c r="AN112" s="4">
        <f t="shared" si="101"/>
        <v>712.26685027121619</v>
      </c>
      <c r="AO112" s="4">
        <f t="shared" si="102"/>
        <v>3835.8796645584644</v>
      </c>
      <c r="AP112" s="4">
        <f t="shared" si="103"/>
        <v>5598.4440625650268</v>
      </c>
      <c r="AQ112" s="4">
        <f t="shared" si="104"/>
        <v>4.026387330343164E-2</v>
      </c>
      <c r="AR112" s="4">
        <f t="shared" si="105"/>
        <v>-0.57044817933560044</v>
      </c>
      <c r="AS112" s="4">
        <f t="shared" si="106"/>
        <v>3.3742414925119285E-2</v>
      </c>
      <c r="AT112" s="4">
        <f t="shared" si="107"/>
        <v>3.977144108137602</v>
      </c>
      <c r="AU112" s="4">
        <f t="shared" si="108"/>
        <v>1.2922052193466065</v>
      </c>
      <c r="AV112" s="4">
        <f t="shared" si="109"/>
        <v>-2.3512216386051464E-2</v>
      </c>
      <c r="AW112" s="4">
        <f t="shared" si="110"/>
        <v>-11.095480898361302</v>
      </c>
      <c r="AX112" s="4">
        <f t="shared" si="111"/>
        <v>-25.096867994778265</v>
      </c>
      <c r="AY112" s="4">
        <f t="shared" si="112"/>
        <v>22.283085425387863</v>
      </c>
      <c r="AZ112" s="4">
        <f t="shared" si="113"/>
        <v>62.26341143464753</v>
      </c>
      <c r="BA112" s="4">
        <f t="shared" si="114"/>
        <v>-0.20944213044562862</v>
      </c>
      <c r="BB112" s="4">
        <f t="shared" si="115"/>
        <v>-15.226281196225358</v>
      </c>
      <c r="BC112" s="4">
        <f t="shared" si="116"/>
        <v>-3.2913769620247342</v>
      </c>
      <c r="BD112" s="4">
        <f t="shared" si="117"/>
        <v>74.204938634761774</v>
      </c>
      <c r="BE112" s="4">
        <f t="shared" si="118"/>
        <v>81.184084831508088</v>
      </c>
      <c r="BF112" s="4">
        <f t="shared" si="119"/>
        <v>-22.202830642848976</v>
      </c>
      <c r="BG112" s="4">
        <f t="shared" si="120"/>
        <v>-35.061650851481225</v>
      </c>
      <c r="BH112" s="4">
        <f t="shared" si="121"/>
        <v>-229.59321773772567</v>
      </c>
      <c r="BI112" s="4">
        <f t="shared" si="122"/>
        <v>-11.464788467328043</v>
      </c>
      <c r="BJ112" s="4">
        <f t="shared" si="123"/>
        <v>-117.10435122304315</v>
      </c>
      <c r="BK112" s="4">
        <f t="shared" si="124"/>
        <v>0.11226415664536396</v>
      </c>
      <c r="BL112" s="4">
        <f t="shared" si="125"/>
        <v>9.9352133811229919</v>
      </c>
      <c r="BM112" s="4">
        <f t="shared" si="126"/>
        <v>8.907196402669646</v>
      </c>
      <c r="BN112" s="4">
        <f t="shared" si="127"/>
        <v>-32.408823008456224</v>
      </c>
      <c r="BO112" s="4">
        <f t="shared" si="128"/>
        <v>-129.16290522375374</v>
      </c>
      <c r="BP112" s="4">
        <f t="shared" si="129"/>
        <v>-32.359857010251567</v>
      </c>
      <c r="BQ112" s="4">
        <f t="shared" si="130"/>
        <v>-59.150561719197597</v>
      </c>
      <c r="BR112" s="4">
        <f t="shared" si="131"/>
        <v>130.25042720886051</v>
      </c>
      <c r="BS112" s="4">
        <f t="shared" si="132"/>
        <v>438.26620187249148</v>
      </c>
      <c r="BT112" s="4">
        <f t="shared" si="133"/>
        <v>710.29222911159047</v>
      </c>
      <c r="BU112" s="4">
        <f t="shared" si="134"/>
        <v>32.062891063701748</v>
      </c>
      <c r="BV112" s="4">
        <f t="shared" si="135"/>
        <v>201.80720944553639</v>
      </c>
      <c r="BW112" s="4">
        <f t="shared" si="136"/>
        <v>-420.60237590130231</v>
      </c>
      <c r="BX112" s="4">
        <f t="shared" si="137"/>
        <v>-946.09289481485575</v>
      </c>
      <c r="BY112" s="4">
        <f t="shared" si="138"/>
        <v>-1105.6848007560459</v>
      </c>
      <c r="BZ112" s="6">
        <f t="shared" si="139"/>
        <v>-1.6386654090608772</v>
      </c>
      <c r="CA112" s="7"/>
      <c r="CB112" s="6">
        <v>-1.6386661502615421</v>
      </c>
      <c r="CC112" s="6"/>
    </row>
    <row r="113" spans="1:81" x14ac:dyDescent="0.3">
      <c r="A113" s="4">
        <v>111</v>
      </c>
      <c r="B113" s="4">
        <v>5749808</v>
      </c>
      <c r="C113" s="4">
        <v>3.0470000000000002</v>
      </c>
      <c r="D113" s="4">
        <v>5.4569999999999999</v>
      </c>
      <c r="E113" s="4">
        <v>0.443</v>
      </c>
      <c r="F113" s="4">
        <v>3.3860000000000001</v>
      </c>
      <c r="H113" s="6">
        <v>-2618.81325553337</v>
      </c>
      <c r="I113" s="4">
        <f t="shared" si="70"/>
        <v>141.41980799870001</v>
      </c>
      <c r="J113" s="4">
        <f t="shared" si="71"/>
        <v>-2685.5439202769999</v>
      </c>
      <c r="K113" s="4">
        <f t="shared" si="72"/>
        <v>1049.3901837999999</v>
      </c>
      <c r="L113" s="4">
        <f t="shared" si="73"/>
        <v>10941.87972232</v>
      </c>
      <c r="M113" s="4">
        <f t="shared" si="74"/>
        <v>35.872891399791385</v>
      </c>
      <c r="N113" s="4">
        <f t="shared" si="75"/>
        <v>42.062754272946329</v>
      </c>
      <c r="O113" s="4">
        <f t="shared" si="76"/>
        <v>-92.908325210667996</v>
      </c>
      <c r="P113" s="4">
        <f t="shared" si="77"/>
        <v>-395.58480047501803</v>
      </c>
      <c r="Q113" s="4">
        <f t="shared" si="78"/>
        <v>-357.37470124791747</v>
      </c>
      <c r="R113" s="4">
        <f t="shared" si="79"/>
        <v>437.45367978228597</v>
      </c>
      <c r="S113" s="4">
        <f t="shared" si="80"/>
        <v>7817.8694770145348</v>
      </c>
      <c r="T113" s="4">
        <f t="shared" si="81"/>
        <v>-81.457214906773999</v>
      </c>
      <c r="U113" s="4">
        <f t="shared" si="82"/>
        <v>-3084.0188529693805</v>
      </c>
      <c r="V113" s="4">
        <f t="shared" si="83"/>
        <v>-17044.983183709202</v>
      </c>
      <c r="W113" s="4">
        <f t="shared" si="84"/>
        <v>-1.0236927865652807</v>
      </c>
      <c r="X113" s="4">
        <f t="shared" si="85"/>
        <v>6.7225079618511447</v>
      </c>
      <c r="Y113" s="4">
        <f t="shared" si="86"/>
        <v>2.446303805185281</v>
      </c>
      <c r="Z113" s="4">
        <f t="shared" si="87"/>
        <v>-82.447180891209911</v>
      </c>
      <c r="AA113" s="4">
        <f t="shared" si="88"/>
        <v>21.081451847105718</v>
      </c>
      <c r="AB113" s="4">
        <f t="shared" si="89"/>
        <v>-79.374147169621239</v>
      </c>
      <c r="AC113" s="4">
        <f t="shared" si="90"/>
        <v>1.9540195113897305</v>
      </c>
      <c r="AD113" s="4">
        <f t="shared" si="91"/>
        <v>49.062368527998288</v>
      </c>
      <c r="AE113" s="4">
        <f t="shared" si="92"/>
        <v>90.990847468858291</v>
      </c>
      <c r="AF113" s="4">
        <f t="shared" si="93"/>
        <v>417.30756069531202</v>
      </c>
      <c r="AG113" s="4">
        <f t="shared" si="94"/>
        <v>-70.350362089591215</v>
      </c>
      <c r="AH113" s="4">
        <f t="shared" si="95"/>
        <v>208.4513018435137</v>
      </c>
      <c r="AI113" s="4">
        <f t="shared" si="96"/>
        <v>486.03207817334078</v>
      </c>
      <c r="AJ113" s="4">
        <f t="shared" si="97"/>
        <v>-15.744748268413538</v>
      </c>
      <c r="AK113" s="4">
        <f t="shared" si="98"/>
        <v>-1016.3104231436289</v>
      </c>
      <c r="AL113" s="4">
        <f t="shared" si="99"/>
        <v>-7295.7577495304276</v>
      </c>
      <c r="AM113" s="4">
        <f t="shared" si="100"/>
        <v>-26.170098579234718</v>
      </c>
      <c r="AN113" s="4">
        <f t="shared" si="101"/>
        <v>214.8817172201617</v>
      </c>
      <c r="AO113" s="4">
        <f t="shared" si="102"/>
        <v>3036.1441993103372</v>
      </c>
      <c r="AP113" s="4">
        <f t="shared" si="103"/>
        <v>11625.869641739431</v>
      </c>
      <c r="AQ113" s="4">
        <f t="shared" si="104"/>
        <v>6.3611873576723439E-3</v>
      </c>
      <c r="AR113" s="4">
        <f t="shared" si="105"/>
        <v>-0.21157482571023906</v>
      </c>
      <c r="AS113" s="4">
        <f t="shared" si="106"/>
        <v>4.1117669185227563E-3</v>
      </c>
      <c r="AT113" s="4">
        <f t="shared" si="107"/>
        <v>1.2715233504214931</v>
      </c>
      <c r="AU113" s="4">
        <f t="shared" si="108"/>
        <v>1.1251344992913428</v>
      </c>
      <c r="AV113" s="4">
        <f t="shared" si="109"/>
        <v>-6.7262197755885858E-3</v>
      </c>
      <c r="AW113" s="4">
        <f t="shared" si="110"/>
        <v>-8.3276851981204025</v>
      </c>
      <c r="AX113" s="4">
        <f t="shared" si="111"/>
        <v>-2.3588566165375919</v>
      </c>
      <c r="AY113" s="4">
        <f t="shared" si="112"/>
        <v>5.494877663795581</v>
      </c>
      <c r="AZ113" s="4">
        <f t="shared" si="113"/>
        <v>40.282489336850873</v>
      </c>
      <c r="BA113" s="4">
        <f t="shared" si="114"/>
        <v>-0.42811668554861715</v>
      </c>
      <c r="BB113" s="4">
        <f t="shared" si="115"/>
        <v>-10.225780982358579</v>
      </c>
      <c r="BC113" s="4">
        <f t="shared" si="116"/>
        <v>-5.7993717896377648</v>
      </c>
      <c r="BD113" s="4">
        <f t="shared" si="117"/>
        <v>16.373441935896128</v>
      </c>
      <c r="BE113" s="4">
        <f t="shared" si="118"/>
        <v>46.997933141204555</v>
      </c>
      <c r="BF113" s="4">
        <f t="shared" si="119"/>
        <v>-33.722277045018025</v>
      </c>
      <c r="BG113" s="4">
        <f t="shared" si="120"/>
        <v>-2.5418157563630426</v>
      </c>
      <c r="BH113" s="4">
        <f t="shared" si="121"/>
        <v>-43.668819072338373</v>
      </c>
      <c r="BI113" s="4">
        <f t="shared" si="122"/>
        <v>-5.7210945464989669</v>
      </c>
      <c r="BJ113" s="4">
        <f t="shared" si="123"/>
        <v>-153.31575894010393</v>
      </c>
      <c r="BK113" s="4">
        <f t="shared" si="124"/>
        <v>0.5387215925522898</v>
      </c>
      <c r="BL113" s="4">
        <f t="shared" si="125"/>
        <v>15.664083761018563</v>
      </c>
      <c r="BM113" s="4">
        <f t="shared" si="126"/>
        <v>36.844232343068903</v>
      </c>
      <c r="BN113" s="4">
        <f t="shared" si="127"/>
        <v>-16.787869705585074</v>
      </c>
      <c r="BO113" s="4">
        <f t="shared" si="128"/>
        <v>-175.53786898879571</v>
      </c>
      <c r="BP113" s="4">
        <f t="shared" si="129"/>
        <v>-115.38259355679992</v>
      </c>
      <c r="BQ113" s="4">
        <f t="shared" si="130"/>
        <v>-10.066899596876597</v>
      </c>
      <c r="BR113" s="4">
        <f t="shared" si="131"/>
        <v>58.158969974623005</v>
      </c>
      <c r="BS113" s="4">
        <f t="shared" si="132"/>
        <v>513.42405925537616</v>
      </c>
      <c r="BT113" s="4">
        <f t="shared" si="133"/>
        <v>2183.1118411382299</v>
      </c>
      <c r="BU113" s="4">
        <f t="shared" si="134"/>
        <v>1.7928504992462073</v>
      </c>
      <c r="BV113" s="4">
        <f t="shared" si="135"/>
        <v>29.605933553639293</v>
      </c>
      <c r="BW113" s="4">
        <f t="shared" si="136"/>
        <v>-161.88793769796942</v>
      </c>
      <c r="BX113" s="4">
        <f t="shared" si="137"/>
        <v>-955.38239877216483</v>
      </c>
      <c r="BY113" s="4">
        <f t="shared" si="138"/>
        <v>-2929.3784382585295</v>
      </c>
      <c r="BZ113" s="6">
        <f t="shared" si="139"/>
        <v>-1.0254613505226189</v>
      </c>
      <c r="CA113" s="7"/>
      <c r="CB113" s="6">
        <v>-1.025460966856826</v>
      </c>
      <c r="CC113" s="6"/>
    </row>
    <row r="114" spans="1:81" x14ac:dyDescent="0.3">
      <c r="A114" s="4">
        <v>112</v>
      </c>
      <c r="B114" s="4">
        <v>76325618</v>
      </c>
      <c r="C114" s="4">
        <v>4.2359999999999998</v>
      </c>
      <c r="D114" s="4">
        <v>3.198</v>
      </c>
      <c r="E114" s="4">
        <v>0.6</v>
      </c>
      <c r="F114" s="4">
        <v>2.7610000000000001</v>
      </c>
      <c r="H114" s="6">
        <v>-2618.81325553337</v>
      </c>
      <c r="I114" s="4">
        <f t="shared" si="70"/>
        <v>196.60462969559998</v>
      </c>
      <c r="J114" s="4">
        <f t="shared" si="71"/>
        <v>-1573.8261786779999</v>
      </c>
      <c r="K114" s="4">
        <f t="shared" si="72"/>
        <v>1421.2959599999999</v>
      </c>
      <c r="L114" s="4">
        <f t="shared" si="73"/>
        <v>8922.1883973200001</v>
      </c>
      <c r="M114" s="4">
        <f t="shared" si="74"/>
        <v>69.331943940390715</v>
      </c>
      <c r="N114" s="4">
        <f t="shared" si="75"/>
        <v>34.269337586680557</v>
      </c>
      <c r="O114" s="4">
        <f t="shared" si="76"/>
        <v>-174.93860249279999</v>
      </c>
      <c r="P114" s="4">
        <f t="shared" si="77"/>
        <v>-448.43814402248393</v>
      </c>
      <c r="Q114" s="4">
        <f t="shared" si="78"/>
        <v>-122.73624054783001</v>
      </c>
      <c r="R114" s="4">
        <f t="shared" si="79"/>
        <v>347.21949721679994</v>
      </c>
      <c r="S114" s="4">
        <f t="shared" si="80"/>
        <v>3735.8753210038262</v>
      </c>
      <c r="T114" s="4">
        <f t="shared" si="81"/>
        <v>-149.42546135999999</v>
      </c>
      <c r="U114" s="4">
        <f t="shared" si="82"/>
        <v>-3405.9949625460004</v>
      </c>
      <c r="V114" s="4">
        <f t="shared" si="83"/>
        <v>-11333.276457521701</v>
      </c>
      <c r="W114" s="4">
        <f t="shared" si="84"/>
        <v>-2.7505537407784657</v>
      </c>
      <c r="X114" s="4">
        <f t="shared" si="85"/>
        <v>7.6141744938449154</v>
      </c>
      <c r="Y114" s="4">
        <f t="shared" si="86"/>
        <v>6.4036105203071516</v>
      </c>
      <c r="Z114" s="4">
        <f t="shared" si="87"/>
        <v>-129.93383526495734</v>
      </c>
      <c r="AA114" s="4">
        <f t="shared" si="88"/>
        <v>10.065446046025301</v>
      </c>
      <c r="AB114" s="4">
        <f t="shared" si="89"/>
        <v>-87.585981092906394</v>
      </c>
      <c r="AC114" s="4">
        <f t="shared" si="90"/>
        <v>1.2981245150996839</v>
      </c>
      <c r="AD114" s="4">
        <f t="shared" si="91"/>
        <v>125.12009223043199</v>
      </c>
      <c r="AE114" s="4">
        <f t="shared" si="92"/>
        <v>139.70378872572408</v>
      </c>
      <c r="AF114" s="4">
        <f t="shared" si="93"/>
        <v>385.74353508824902</v>
      </c>
      <c r="AG114" s="4">
        <f t="shared" si="94"/>
        <v>-14.159237092187331</v>
      </c>
      <c r="AH114" s="4">
        <f t="shared" si="95"/>
        <v>96.961906729789916</v>
      </c>
      <c r="AI114" s="4">
        <f t="shared" si="96"/>
        <v>136.11105424444389</v>
      </c>
      <c r="AJ114" s="4">
        <f t="shared" si="97"/>
        <v>-16.926036588863997</v>
      </c>
      <c r="AK114" s="4">
        <f t="shared" si="98"/>
        <v>-657.77575586168155</v>
      </c>
      <c r="AL114" s="4">
        <f t="shared" si="99"/>
        <v>-2842.849157390996</v>
      </c>
      <c r="AM114" s="4">
        <f t="shared" si="100"/>
        <v>-65.020144607999995</v>
      </c>
      <c r="AN114" s="4">
        <f t="shared" si="101"/>
        <v>321.42079221516002</v>
      </c>
      <c r="AO114" s="4">
        <f t="shared" si="102"/>
        <v>2734.1908404833353</v>
      </c>
      <c r="AP114" s="4">
        <f t="shared" si="103"/>
        <v>6303.2394791383167</v>
      </c>
      <c r="AQ114" s="4">
        <f t="shared" si="104"/>
        <v>2.3761408245447597E-2</v>
      </c>
      <c r="AR114" s="4">
        <f t="shared" si="105"/>
        <v>-0.33314936441329507</v>
      </c>
      <c r="AS114" s="4">
        <f t="shared" si="106"/>
        <v>1.4963269702787274E-2</v>
      </c>
      <c r="AT114" s="4">
        <f t="shared" si="107"/>
        <v>2.7858279064784055</v>
      </c>
      <c r="AU114" s="4">
        <f t="shared" si="108"/>
        <v>0.74682775058568174</v>
      </c>
      <c r="AV114" s="4">
        <f t="shared" si="109"/>
        <v>-1.031834578609488E-2</v>
      </c>
      <c r="AW114" s="4">
        <f t="shared" si="110"/>
        <v>-7.6912203273974011</v>
      </c>
      <c r="AX114" s="4">
        <f t="shared" si="111"/>
        <v>-8.363028672869067</v>
      </c>
      <c r="AY114" s="4">
        <f t="shared" si="112"/>
        <v>11.728757291524257</v>
      </c>
      <c r="AZ114" s="4">
        <f t="shared" si="113"/>
        <v>51.765713092819098</v>
      </c>
      <c r="BA114" s="4">
        <f t="shared" si="114"/>
        <v>-0.11978961485503227</v>
      </c>
      <c r="BB114" s="4">
        <f t="shared" si="115"/>
        <v>-6.6126649630528282</v>
      </c>
      <c r="BC114" s="4">
        <f t="shared" si="116"/>
        <v>-2.2578387015015347</v>
      </c>
      <c r="BD114" s="4">
        <f t="shared" si="117"/>
        <v>24.470510813453203</v>
      </c>
      <c r="BE114" s="4">
        <f t="shared" si="118"/>
        <v>42.287668273654006</v>
      </c>
      <c r="BF114" s="4">
        <f t="shared" si="119"/>
        <v>-18.267697045522155</v>
      </c>
      <c r="BG114" s="4">
        <f t="shared" si="120"/>
        <v>-8.7795071568547201</v>
      </c>
      <c r="BH114" s="4">
        <f t="shared" si="121"/>
        <v>-90.809115575216538</v>
      </c>
      <c r="BI114" s="4">
        <f t="shared" si="122"/>
        <v>-7.1625728480717736</v>
      </c>
      <c r="BJ114" s="4">
        <f t="shared" si="123"/>
        <v>-115.56029797033231</v>
      </c>
      <c r="BK114" s="4">
        <f t="shared" si="124"/>
        <v>6.3542223149459925E-2</v>
      </c>
      <c r="BL114" s="4">
        <f t="shared" si="125"/>
        <v>4.2699819365953777</v>
      </c>
      <c r="BM114" s="4">
        <f t="shared" si="126"/>
        <v>6.0467565273176191</v>
      </c>
      <c r="BN114" s="4">
        <f t="shared" si="127"/>
        <v>-10.576443396731847</v>
      </c>
      <c r="BO114" s="4">
        <f t="shared" si="128"/>
        <v>-66.580462867082858</v>
      </c>
      <c r="BP114" s="4">
        <f t="shared" si="129"/>
        <v>-26.348033911967356</v>
      </c>
      <c r="BQ114" s="4">
        <f t="shared" si="130"/>
        <v>-14.657598294580799</v>
      </c>
      <c r="BR114" s="4">
        <f t="shared" si="131"/>
        <v>50.981864357636788</v>
      </c>
      <c r="BS114" s="4">
        <f t="shared" si="132"/>
        <v>270.96122779721446</v>
      </c>
      <c r="BT114" s="4">
        <f t="shared" si="133"/>
        <v>693.6475385182199</v>
      </c>
      <c r="BU114" s="4">
        <f t="shared" si="134"/>
        <v>6.0330117772799996</v>
      </c>
      <c r="BV114" s="4">
        <f t="shared" si="135"/>
        <v>59.979216100319995</v>
      </c>
      <c r="BW114" s="4">
        <f t="shared" si="136"/>
        <v>-197.45514054862358</v>
      </c>
      <c r="BX114" s="4">
        <f t="shared" si="137"/>
        <v>-701.55725261909583</v>
      </c>
      <c r="BY114" s="4">
        <f t="shared" si="138"/>
        <v>-1295.0701458445672</v>
      </c>
      <c r="BZ114" s="6">
        <f t="shared" si="139"/>
        <v>-2.1971821728577652</v>
      </c>
      <c r="CA114" s="7"/>
      <c r="CB114" s="6">
        <v>-2.1971805814569052</v>
      </c>
      <c r="CC114" s="6"/>
    </row>
    <row r="115" spans="1:81" x14ac:dyDescent="0.3">
      <c r="A115" s="4">
        <v>113</v>
      </c>
      <c r="B115" s="4">
        <v>164627897</v>
      </c>
      <c r="C115" s="4">
        <v>2.7280000000000002</v>
      </c>
      <c r="D115" s="4">
        <v>4.4340000000000002</v>
      </c>
      <c r="E115" s="4">
        <v>0.46500000000000002</v>
      </c>
      <c r="F115" s="4">
        <v>3.75</v>
      </c>
      <c r="H115" s="6">
        <v>-2618.81325553337</v>
      </c>
      <c r="I115" s="4">
        <f t="shared" si="70"/>
        <v>126.61412412880001</v>
      </c>
      <c r="J115" s="4">
        <f t="shared" si="71"/>
        <v>-2182.0967092740002</v>
      </c>
      <c r="K115" s="4">
        <f t="shared" si="72"/>
        <v>1101.504369</v>
      </c>
      <c r="L115" s="4">
        <f t="shared" si="73"/>
        <v>12118.14795</v>
      </c>
      <c r="M115" s="4">
        <f t="shared" si="74"/>
        <v>28.754790400666888</v>
      </c>
      <c r="N115" s="4">
        <f t="shared" si="75"/>
        <v>30.599290287683043</v>
      </c>
      <c r="O115" s="4">
        <f t="shared" si="76"/>
        <v>-87.312368600160013</v>
      </c>
      <c r="P115" s="4">
        <f t="shared" si="77"/>
        <v>-392.24356017000002</v>
      </c>
      <c r="Q115" s="4">
        <f t="shared" si="78"/>
        <v>-235.94309679087002</v>
      </c>
      <c r="R115" s="4">
        <f t="shared" si="79"/>
        <v>373.09809858066001</v>
      </c>
      <c r="S115" s="4">
        <f t="shared" si="80"/>
        <v>7035.1678622925001</v>
      </c>
      <c r="T115" s="4">
        <f t="shared" si="81"/>
        <v>-89.748667729350004</v>
      </c>
      <c r="U115" s="4">
        <f t="shared" si="82"/>
        <v>-3585.1766968125007</v>
      </c>
      <c r="V115" s="4">
        <f t="shared" si="83"/>
        <v>-20906.686406249999</v>
      </c>
      <c r="W115" s="4">
        <f t="shared" si="84"/>
        <v>-0.7346582810785155</v>
      </c>
      <c r="X115" s="4">
        <f t="shared" si="85"/>
        <v>4.3784146046880359</v>
      </c>
      <c r="Y115" s="4">
        <f t="shared" si="86"/>
        <v>2.0582751988011316</v>
      </c>
      <c r="Z115" s="4">
        <f t="shared" si="87"/>
        <v>-73.192056177266409</v>
      </c>
      <c r="AA115" s="4">
        <f t="shared" si="88"/>
        <v>12.461086149431678</v>
      </c>
      <c r="AB115" s="4">
        <f t="shared" si="89"/>
        <v>-60.609673639187641</v>
      </c>
      <c r="AC115" s="4">
        <f t="shared" si="90"/>
        <v>1.5742976844101764</v>
      </c>
      <c r="AD115" s="4">
        <f t="shared" si="91"/>
        <v>48.397048328617572</v>
      </c>
      <c r="AE115" s="4">
        <f t="shared" si="92"/>
        <v>94.702874737185027</v>
      </c>
      <c r="AF115" s="4">
        <f t="shared" si="93"/>
        <v>458.26510937625005</v>
      </c>
      <c r="AG115" s="4">
        <f t="shared" si="94"/>
        <v>-37.739100272157138</v>
      </c>
      <c r="AH115" s="4">
        <f t="shared" si="95"/>
        <v>144.45657324118213</v>
      </c>
      <c r="AI115" s="4">
        <f t="shared" si="96"/>
        <v>355.37978283754273</v>
      </c>
      <c r="AJ115" s="4">
        <f t="shared" si="97"/>
        <v>-14.095351475894523</v>
      </c>
      <c r="AK115" s="4">
        <f t="shared" si="98"/>
        <v>-959.97882878145003</v>
      </c>
      <c r="AL115" s="4">
        <f t="shared" si="99"/>
        <v>-7271.1108901125008</v>
      </c>
      <c r="AM115" s="4">
        <f t="shared" si="100"/>
        <v>-30.265861375264503</v>
      </c>
      <c r="AN115" s="4">
        <f t="shared" si="101"/>
        <v>262.20576329803123</v>
      </c>
      <c r="AO115" s="4">
        <f t="shared" si="102"/>
        <v>3908.951200968751</v>
      </c>
      <c r="AP115" s="4">
        <f t="shared" si="103"/>
        <v>15792.772921875001</v>
      </c>
      <c r="AQ115" s="4">
        <f t="shared" si="104"/>
        <v>4.0871994779067816E-3</v>
      </c>
      <c r="AR115" s="4">
        <f t="shared" si="105"/>
        <v>-0.12337337972086672</v>
      </c>
      <c r="AS115" s="4">
        <f t="shared" si="106"/>
        <v>3.097372584671204E-3</v>
      </c>
      <c r="AT115" s="4">
        <f t="shared" si="107"/>
        <v>1.010611856942532</v>
      </c>
      <c r="AU115" s="4">
        <f t="shared" si="108"/>
        <v>0.59543140208813194</v>
      </c>
      <c r="AV115" s="4">
        <f t="shared" si="109"/>
        <v>-4.5983903888726571E-3</v>
      </c>
      <c r="AW115" s="4">
        <f t="shared" si="110"/>
        <v>-6.0069521455996719</v>
      </c>
      <c r="AX115" s="4">
        <f t="shared" si="111"/>
        <v>-2.0832616534800921</v>
      </c>
      <c r="AY115" s="4">
        <f t="shared" si="112"/>
        <v>5.1202998213335507</v>
      </c>
      <c r="AZ115" s="4">
        <f t="shared" si="113"/>
        <v>39.604884604589706</v>
      </c>
      <c r="BA115" s="4">
        <f t="shared" si="114"/>
        <v>-0.20561711970440152</v>
      </c>
      <c r="BB115" s="4">
        <f t="shared" si="115"/>
        <v>-6.3445539560776094</v>
      </c>
      <c r="BC115" s="4">
        <f t="shared" si="116"/>
        <v>-3.7964759003223154</v>
      </c>
      <c r="BD115" s="4">
        <f t="shared" si="117"/>
        <v>13.123572781312282</v>
      </c>
      <c r="BE115" s="4">
        <f t="shared" si="118"/>
        <v>39.74531528960101</v>
      </c>
      <c r="BF115" s="4">
        <f t="shared" si="119"/>
        <v>-30.089790687094883</v>
      </c>
      <c r="BG115" s="4">
        <f t="shared" si="120"/>
        <v>-2.6318653068656137</v>
      </c>
      <c r="BH115" s="4">
        <f t="shared" si="121"/>
        <v>-47.707441517592464</v>
      </c>
      <c r="BI115" s="4">
        <f t="shared" si="122"/>
        <v>-6.5946065755494381</v>
      </c>
      <c r="BJ115" s="4">
        <f t="shared" si="123"/>
        <v>-186.46256357437503</v>
      </c>
      <c r="BK115" s="4">
        <f t="shared" si="124"/>
        <v>0.23481796654851708</v>
      </c>
      <c r="BL115" s="4">
        <f t="shared" si="125"/>
        <v>8.8202202172072379</v>
      </c>
      <c r="BM115" s="4">
        <f t="shared" si="126"/>
        <v>21.889660772055095</v>
      </c>
      <c r="BN115" s="4">
        <f t="shared" si="127"/>
        <v>-12.211738989234441</v>
      </c>
      <c r="BO115" s="4">
        <f t="shared" si="128"/>
        <v>-134.72488835576675</v>
      </c>
      <c r="BP115" s="4">
        <f t="shared" si="129"/>
        <v>-93.435603416025572</v>
      </c>
      <c r="BQ115" s="4">
        <f t="shared" si="130"/>
        <v>-9.4598696492923331</v>
      </c>
      <c r="BR115" s="4">
        <f t="shared" si="131"/>
        <v>57.663527804464401</v>
      </c>
      <c r="BS115" s="4">
        <f t="shared" si="132"/>
        <v>537.10080785049388</v>
      </c>
      <c r="BT115" s="4">
        <f t="shared" si="133"/>
        <v>2409.6316676695315</v>
      </c>
      <c r="BU115" s="4">
        <f t="shared" si="134"/>
        <v>2.1764113552989861</v>
      </c>
      <c r="BV115" s="4">
        <f t="shared" si="135"/>
        <v>37.920211770346882</v>
      </c>
      <c r="BW115" s="4">
        <f t="shared" si="136"/>
        <v>-218.77695420946878</v>
      </c>
      <c r="BX115" s="4">
        <f t="shared" si="137"/>
        <v>-1362.2581173867188</v>
      </c>
      <c r="BY115" s="4">
        <f t="shared" si="138"/>
        <v>-4407.0982888183598</v>
      </c>
      <c r="BZ115" s="6">
        <f t="shared" si="139"/>
        <v>-1.6292835826106966</v>
      </c>
      <c r="CA115" s="7"/>
      <c r="CB115" s="6">
        <v>-1.629282818192678</v>
      </c>
      <c r="CC115" s="6"/>
    </row>
    <row r="116" spans="1:81" x14ac:dyDescent="0.3">
      <c r="A116" s="4">
        <v>114</v>
      </c>
      <c r="B116" s="4">
        <v>4474</v>
      </c>
      <c r="C116" s="4">
        <v>6.4269999999999996</v>
      </c>
      <c r="D116" s="4">
        <v>5.78</v>
      </c>
      <c r="E116" s="4">
        <v>0.52500000000000002</v>
      </c>
      <c r="F116" s="4">
        <v>3.82</v>
      </c>
      <c r="H116" s="6">
        <v>-2618.81325553337</v>
      </c>
      <c r="I116" s="4">
        <f t="shared" si="70"/>
        <v>298.29507909669996</v>
      </c>
      <c r="J116" s="4">
        <f t="shared" si="71"/>
        <v>-2844.50134858</v>
      </c>
      <c r="K116" s="4">
        <f t="shared" si="72"/>
        <v>1243.633965</v>
      </c>
      <c r="L116" s="4">
        <f t="shared" si="73"/>
        <v>12344.353378399999</v>
      </c>
      <c r="M116" s="4">
        <f t="shared" si="74"/>
        <v>159.60190624112977</v>
      </c>
      <c r="N116" s="4">
        <f t="shared" si="75"/>
        <v>93.973940336756186</v>
      </c>
      <c r="O116" s="4">
        <f t="shared" si="76"/>
        <v>-232.2448296609</v>
      </c>
      <c r="P116" s="4">
        <f t="shared" si="77"/>
        <v>-941.35156987605978</v>
      </c>
      <c r="Q116" s="4">
        <f t="shared" si="78"/>
        <v>-400.93278854300002</v>
      </c>
      <c r="R116" s="4">
        <f t="shared" si="79"/>
        <v>549.11276021699996</v>
      </c>
      <c r="S116" s="4">
        <f t="shared" si="80"/>
        <v>9341.9751816132011</v>
      </c>
      <c r="T116" s="4">
        <f t="shared" si="81"/>
        <v>-114.40386885375</v>
      </c>
      <c r="U116" s="4">
        <f t="shared" si="82"/>
        <v>-4123.3387042050008</v>
      </c>
      <c r="V116" s="4">
        <f t="shared" si="83"/>
        <v>-21694.48751748</v>
      </c>
      <c r="W116" s="4">
        <f t="shared" si="84"/>
        <v>-9.6067652866959072</v>
      </c>
      <c r="X116" s="4">
        <f t="shared" si="85"/>
        <v>31.679396622889385</v>
      </c>
      <c r="Y116" s="4">
        <f t="shared" si="86"/>
        <v>12.898454007034552</v>
      </c>
      <c r="Z116" s="4">
        <f t="shared" si="87"/>
        <v>-413.83184853582253</v>
      </c>
      <c r="AA116" s="4">
        <f t="shared" si="88"/>
        <v>49.88662595246484</v>
      </c>
      <c r="AB116" s="4">
        <f t="shared" si="89"/>
        <v>-210.15725130809327</v>
      </c>
      <c r="AC116" s="4">
        <f t="shared" si="90"/>
        <v>4.9250998015958096</v>
      </c>
      <c r="AD116" s="4">
        <f t="shared" si="91"/>
        <v>145.34346525866212</v>
      </c>
      <c r="AE116" s="4">
        <f t="shared" si="92"/>
        <v>256.60525261762757</v>
      </c>
      <c r="AF116" s="4">
        <f t="shared" si="93"/>
        <v>1120.3272955441489</v>
      </c>
      <c r="AG116" s="4">
        <f t="shared" si="94"/>
        <v>-83.596480001693493</v>
      </c>
      <c r="AH116" s="4">
        <f t="shared" si="95"/>
        <v>277.14558096157799</v>
      </c>
      <c r="AI116" s="4">
        <f t="shared" si="96"/>
        <v>615.16145023549723</v>
      </c>
      <c r="AJ116" s="4">
        <f t="shared" si="97"/>
        <v>-23.421826545390001</v>
      </c>
      <c r="AK116" s="4">
        <f t="shared" si="98"/>
        <v>-1439.2367855014802</v>
      </c>
      <c r="AL116" s="4">
        <f t="shared" si="99"/>
        <v>-9835.5150673784647</v>
      </c>
      <c r="AM116" s="4">
        <f t="shared" si="100"/>
        <v>-43.558417188562501</v>
      </c>
      <c r="AN116" s="4">
        <f t="shared" si="101"/>
        <v>340.4764118912625</v>
      </c>
      <c r="AO116" s="4">
        <f t="shared" si="102"/>
        <v>4579.6341968185206</v>
      </c>
      <c r="AP116" s="4">
        <f t="shared" si="103"/>
        <v>16693.779638335425</v>
      </c>
      <c r="AQ116" s="4">
        <f t="shared" si="104"/>
        <v>0.12591618874366717</v>
      </c>
      <c r="AR116" s="4">
        <f t="shared" si="105"/>
        <v>-2.1030297360353059</v>
      </c>
      <c r="AS116" s="4">
        <f t="shared" si="106"/>
        <v>4.5728989256571033E-2</v>
      </c>
      <c r="AT116" s="4">
        <f t="shared" si="107"/>
        <v>13.461959703656669</v>
      </c>
      <c r="AU116" s="4">
        <f t="shared" si="108"/>
        <v>5.6159586576532696</v>
      </c>
      <c r="AV116" s="4">
        <f t="shared" si="109"/>
        <v>-3.7564032423974714E-2</v>
      </c>
      <c r="AW116" s="4">
        <f t="shared" si="110"/>
        <v>-44.273747596194887</v>
      </c>
      <c r="AX116" s="4">
        <f t="shared" si="111"/>
        <v>-14.739555569491676</v>
      </c>
      <c r="AY116" s="4">
        <f t="shared" si="112"/>
        <v>32.685994671416104</v>
      </c>
      <c r="AZ116" s="4">
        <f t="shared" si="113"/>
        <v>228.10815427646139</v>
      </c>
      <c r="BA116" s="4">
        <f t="shared" si="114"/>
        <v>-1.0730492469017958</v>
      </c>
      <c r="BB116" s="4">
        <f t="shared" si="115"/>
        <v>-28.677129587284504</v>
      </c>
      <c r="BC116" s="4">
        <f t="shared" si="116"/>
        <v>-15.482495974212883</v>
      </c>
      <c r="BD116" s="4">
        <f t="shared" si="117"/>
        <v>51.376068671932735</v>
      </c>
      <c r="BE116" s="4">
        <f t="shared" si="118"/>
        <v>140.38492546492225</v>
      </c>
      <c r="BF116" s="4">
        <f t="shared" si="119"/>
        <v>-95.891351712790438</v>
      </c>
      <c r="BG116" s="4">
        <f t="shared" si="120"/>
        <v>-8.9237345845630784</v>
      </c>
      <c r="BH116" s="4">
        <f t="shared" si="121"/>
        <v>-145.94689394516902</v>
      </c>
      <c r="BI116" s="4">
        <f t="shared" si="122"/>
        <v>-18.202178379761062</v>
      </c>
      <c r="BJ116" s="4">
        <f t="shared" si="123"/>
        <v>-464.35686478026196</v>
      </c>
      <c r="BK116" s="4">
        <f t="shared" si="124"/>
        <v>0.67804719150464621</v>
      </c>
      <c r="BL116" s="4">
        <f t="shared" si="125"/>
        <v>22.058817511873766</v>
      </c>
      <c r="BM116" s="4">
        <f t="shared" si="126"/>
        <v>49.393246858733583</v>
      </c>
      <c r="BN116" s="4">
        <f t="shared" si="127"/>
        <v>-26.451756339014793</v>
      </c>
      <c r="BO116" s="4">
        <f t="shared" si="128"/>
        <v>-263.29982918558659</v>
      </c>
      <c r="BP116" s="4">
        <f t="shared" si="129"/>
        <v>-164.75586526377077</v>
      </c>
      <c r="BQ116" s="4">
        <f t="shared" si="130"/>
        <v>-17.747466020595283</v>
      </c>
      <c r="BR116" s="4">
        <f t="shared" si="131"/>
        <v>97.606368405494564</v>
      </c>
      <c r="BS116" s="4">
        <f t="shared" si="132"/>
        <v>820.27315018733123</v>
      </c>
      <c r="BT116" s="4">
        <f t="shared" si="133"/>
        <v>3320.3135466425856</v>
      </c>
      <c r="BU116" s="4">
        <f t="shared" si="134"/>
        <v>3.5364407415159373</v>
      </c>
      <c r="BV116" s="4">
        <f t="shared" si="135"/>
        <v>55.593229134318747</v>
      </c>
      <c r="BW116" s="4">
        <f t="shared" si="136"/>
        <v>-289.38663059998862</v>
      </c>
      <c r="BX116" s="4">
        <f t="shared" si="137"/>
        <v>-1625.7809877688026</v>
      </c>
      <c r="BY116" s="4">
        <f t="shared" si="138"/>
        <v>-4745.490596579627</v>
      </c>
      <c r="BZ116" s="6">
        <f t="shared" si="139"/>
        <v>-1.55241913187092</v>
      </c>
      <c r="CA116" s="7"/>
      <c r="CB116" s="6">
        <v>-1.5524227362120659</v>
      </c>
      <c r="CC116" s="6"/>
    </row>
    <row r="117" spans="1:81" x14ac:dyDescent="0.3">
      <c r="A117" s="4">
        <v>115</v>
      </c>
      <c r="B117" s="4">
        <v>359323</v>
      </c>
      <c r="C117" s="4">
        <v>6.569</v>
      </c>
      <c r="D117" s="4">
        <v>3.657</v>
      </c>
      <c r="E117" s="4">
        <v>0.98199999999999998</v>
      </c>
      <c r="F117" s="4">
        <v>3.1989999999999998</v>
      </c>
      <c r="H117" s="6">
        <v>-2618.81325553337</v>
      </c>
      <c r="I117" s="4">
        <f t="shared" si="70"/>
        <v>304.8856969949</v>
      </c>
      <c r="J117" s="4">
        <f t="shared" si="71"/>
        <v>-1799.713050477</v>
      </c>
      <c r="K117" s="4">
        <f t="shared" si="72"/>
        <v>2326.1877211999999</v>
      </c>
      <c r="L117" s="4">
        <f t="shared" si="73"/>
        <v>10337.58807788</v>
      </c>
      <c r="M117" s="4">
        <f t="shared" si="74"/>
        <v>166.73239864190404</v>
      </c>
      <c r="N117" s="4">
        <f t="shared" si="75"/>
        <v>60.770879423093902</v>
      </c>
      <c r="O117" s="4">
        <f t="shared" si="76"/>
        <v>-444.00636982186398</v>
      </c>
      <c r="P117" s="4">
        <f t="shared" si="77"/>
        <v>-805.73771081864891</v>
      </c>
      <c r="Q117" s="4">
        <f t="shared" si="78"/>
        <v>-160.49659326891751</v>
      </c>
      <c r="R117" s="4">
        <f t="shared" si="79"/>
        <v>649.84658677196398</v>
      </c>
      <c r="S117" s="4">
        <f t="shared" si="80"/>
        <v>4949.7892517106811</v>
      </c>
      <c r="T117" s="4">
        <f t="shared" si="81"/>
        <v>-400.26266277922394</v>
      </c>
      <c r="U117" s="4">
        <f t="shared" si="82"/>
        <v>-6458.8035031095797</v>
      </c>
      <c r="V117" s="4">
        <f t="shared" si="83"/>
        <v>-15214.271069417697</v>
      </c>
      <c r="W117" s="4">
        <f t="shared" si="84"/>
        <v>-10.257701714393734</v>
      </c>
      <c r="X117" s="4">
        <f t="shared" si="85"/>
        <v>20.939000491759682</v>
      </c>
      <c r="Y117" s="4">
        <f t="shared" si="86"/>
        <v>25.204133291585251</v>
      </c>
      <c r="Z117" s="4">
        <f t="shared" si="87"/>
        <v>-362.04012989785713</v>
      </c>
      <c r="AA117" s="4">
        <f t="shared" si="88"/>
        <v>20.411237567563461</v>
      </c>
      <c r="AB117" s="4">
        <f t="shared" si="89"/>
        <v>-254.20532739113571</v>
      </c>
      <c r="AC117" s="4">
        <f t="shared" si="90"/>
        <v>2.6671902595121999</v>
      </c>
      <c r="AD117" s="4">
        <f t="shared" si="91"/>
        <v>519.74562353747342</v>
      </c>
      <c r="AE117" s="4">
        <f t="shared" si="92"/>
        <v>410.82755558532818</v>
      </c>
      <c r="AF117" s="4">
        <f t="shared" si="93"/>
        <v>803.04084164705716</v>
      </c>
      <c r="AG117" s="4">
        <f t="shared" si="94"/>
        <v>-21.172851754295142</v>
      </c>
      <c r="AH117" s="4">
        <f t="shared" si="95"/>
        <v>207.51733739566865</v>
      </c>
      <c r="AI117" s="4">
        <f t="shared" si="96"/>
        <v>206.22163848362055</v>
      </c>
      <c r="AJ117" s="4">
        <f t="shared" si="97"/>
        <v>-51.846835136195793</v>
      </c>
      <c r="AK117" s="4">
        <f t="shared" si="98"/>
        <v>-1426.3707819821473</v>
      </c>
      <c r="AL117" s="4">
        <f t="shared" si="99"/>
        <v>-4364.1129703080587</v>
      </c>
      <c r="AM117" s="4">
        <f t="shared" si="100"/>
        <v>-285.05498695483158</v>
      </c>
      <c r="AN117" s="4">
        <f t="shared" si="101"/>
        <v>997.56746259272211</v>
      </c>
      <c r="AO117" s="4">
        <f t="shared" si="102"/>
        <v>6007.3747994669984</v>
      </c>
      <c r="AP117" s="4">
        <f t="shared" si="103"/>
        <v>9804.0904194781342</v>
      </c>
      <c r="AQ117" s="4">
        <f t="shared" si="104"/>
        <v>0.13741856773506242</v>
      </c>
      <c r="AR117" s="4">
        <f t="shared" si="105"/>
        <v>-1.4207426608351876</v>
      </c>
      <c r="AS117" s="4">
        <f t="shared" si="106"/>
        <v>9.1330676085039433E-2</v>
      </c>
      <c r="AT117" s="4">
        <f t="shared" si="107"/>
        <v>12.037382177914665</v>
      </c>
      <c r="AU117" s="4">
        <f t="shared" si="108"/>
        <v>2.3485514014558797</v>
      </c>
      <c r="AV117" s="4">
        <f t="shared" si="109"/>
        <v>-4.6441200422950524E-2</v>
      </c>
      <c r="AW117" s="4">
        <f t="shared" si="110"/>
        <v>-24.506213219944932</v>
      </c>
      <c r="AX117" s="4">
        <f t="shared" si="111"/>
        <v>-53.872940566595346</v>
      </c>
      <c r="AY117" s="4">
        <f t="shared" si="112"/>
        <v>53.486809270019336</v>
      </c>
      <c r="AZ117" s="4">
        <f t="shared" si="113"/>
        <v>167.1184845350403</v>
      </c>
      <c r="BA117" s="4">
        <f t="shared" si="114"/>
        <v>-0.27778064487248449</v>
      </c>
      <c r="BB117" s="4">
        <f t="shared" si="115"/>
        <v>-21.946894148261748</v>
      </c>
      <c r="BC117" s="4">
        <f t="shared" si="116"/>
        <v>-5.3048982541437288</v>
      </c>
      <c r="BD117" s="4">
        <f t="shared" si="117"/>
        <v>116.23938977275462</v>
      </c>
      <c r="BE117" s="4">
        <f t="shared" si="118"/>
        <v>142.20393730098931</v>
      </c>
      <c r="BF117" s="4">
        <f t="shared" si="119"/>
        <v>-43.487984357075248</v>
      </c>
      <c r="BG117" s="4">
        <f t="shared" si="120"/>
        <v>-59.688980324465334</v>
      </c>
      <c r="BH117" s="4">
        <f t="shared" si="121"/>
        <v>-437.06000323032765</v>
      </c>
      <c r="BI117" s="4">
        <f t="shared" si="122"/>
        <v>-24.404407423500466</v>
      </c>
      <c r="BJ117" s="4">
        <f t="shared" si="123"/>
        <v>-278.7375405827047</v>
      </c>
      <c r="BK117" s="4">
        <f t="shared" si="124"/>
        <v>0.10865467299973139</v>
      </c>
      <c r="BL117" s="4">
        <f t="shared" si="125"/>
        <v>10.450228292357595</v>
      </c>
      <c r="BM117" s="4">
        <f t="shared" si="126"/>
        <v>10.476345637613891</v>
      </c>
      <c r="BN117" s="4">
        <f t="shared" si="127"/>
        <v>-37.047006891437874</v>
      </c>
      <c r="BO117" s="4">
        <f t="shared" si="128"/>
        <v>-165.100307731692</v>
      </c>
      <c r="BP117" s="4">
        <f t="shared" si="129"/>
        <v>-46.252677927005998</v>
      </c>
      <c r="BQ117" s="4">
        <f t="shared" si="130"/>
        <v>-73.483532985094698</v>
      </c>
      <c r="BR117" s="4">
        <f t="shared" si="131"/>
        <v>180.93830697162804</v>
      </c>
      <c r="BS117" s="4">
        <f t="shared" si="132"/>
        <v>680.78433936904923</v>
      </c>
      <c r="BT117" s="4">
        <f t="shared" si="133"/>
        <v>1233.754786950607</v>
      </c>
      <c r="BU117" s="4">
        <f t="shared" si="134"/>
        <v>43.288757711678826</v>
      </c>
      <c r="BV117" s="4">
        <f t="shared" si="135"/>
        <v>304.66974641517163</v>
      </c>
      <c r="BW117" s="4">
        <f t="shared" si="136"/>
        <v>-710.04289549071609</v>
      </c>
      <c r="BX117" s="4">
        <f t="shared" si="137"/>
        <v>-1785.939967368837</v>
      </c>
      <c r="BY117" s="4">
        <f t="shared" si="138"/>
        <v>-2333.9128000582809</v>
      </c>
      <c r="BZ117" s="6">
        <f t="shared" si="139"/>
        <v>-0.1574932883618203</v>
      </c>
      <c r="CA117" s="7"/>
      <c r="CB117" s="6">
        <v>-0.15749474081530929</v>
      </c>
      <c r="CC117" s="6"/>
    </row>
    <row r="118" spans="1:81" x14ac:dyDescent="0.3">
      <c r="A118" s="4">
        <v>116</v>
      </c>
      <c r="B118" s="4">
        <v>5834620</v>
      </c>
      <c r="C118" s="4">
        <v>4.4400000000000004</v>
      </c>
      <c r="D118" s="4">
        <v>3.448</v>
      </c>
      <c r="E118" s="4">
        <v>0.44400000000000001</v>
      </c>
      <c r="F118" s="4">
        <v>3.4529999999999998</v>
      </c>
      <c r="H118" s="6">
        <v>-2618.81325553337</v>
      </c>
      <c r="I118" s="4">
        <f t="shared" si="70"/>
        <v>206.07284132400002</v>
      </c>
      <c r="J118" s="4">
        <f t="shared" si="71"/>
        <v>-1696.8582439280001</v>
      </c>
      <c r="K118" s="4">
        <f t="shared" si="72"/>
        <v>1051.7590103999999</v>
      </c>
      <c r="L118" s="4">
        <f t="shared" si="73"/>
        <v>11158.39063236</v>
      </c>
      <c r="M118" s="4">
        <f t="shared" si="74"/>
        <v>76.170606661152021</v>
      </c>
      <c r="N118" s="4">
        <f t="shared" si="75"/>
        <v>38.727684016022394</v>
      </c>
      <c r="O118" s="4">
        <f t="shared" si="76"/>
        <v>-135.68892170688002</v>
      </c>
      <c r="P118" s="4">
        <f t="shared" si="77"/>
        <v>-587.84081514227989</v>
      </c>
      <c r="Q118" s="4">
        <f t="shared" si="78"/>
        <v>-142.67583143407998</v>
      </c>
      <c r="R118" s="4">
        <f t="shared" si="79"/>
        <v>277.028608986432</v>
      </c>
      <c r="S118" s="4">
        <f t="shared" si="80"/>
        <v>5037.456899657448</v>
      </c>
      <c r="T118" s="4">
        <f t="shared" si="81"/>
        <v>-81.825382640735995</v>
      </c>
      <c r="U118" s="4">
        <f t="shared" si="82"/>
        <v>-3152.14286425092</v>
      </c>
      <c r="V118" s="4">
        <f t="shared" si="83"/>
        <v>-17726.207396919297</v>
      </c>
      <c r="W118" s="4">
        <f t="shared" si="84"/>
        <v>-3.1673874435984009</v>
      </c>
      <c r="X118" s="4">
        <f t="shared" si="85"/>
        <v>9.0191510497971095</v>
      </c>
      <c r="Y118" s="4">
        <f t="shared" si="86"/>
        <v>5.2060779507919683</v>
      </c>
      <c r="Z118" s="4">
        <f t="shared" si="87"/>
        <v>-178.52805223695606</v>
      </c>
      <c r="AA118" s="4">
        <f t="shared" si="88"/>
        <v>12.264155245680437</v>
      </c>
      <c r="AB118" s="4">
        <f t="shared" si="89"/>
        <v>-73.245700231309442</v>
      </c>
      <c r="AC118" s="4">
        <f t="shared" si="90"/>
        <v>1.8346885042849046</v>
      </c>
      <c r="AD118" s="4">
        <f t="shared" si="91"/>
        <v>71.815388461734528</v>
      </c>
      <c r="AE118" s="4">
        <f t="shared" si="92"/>
        <v>135.51803454250529</v>
      </c>
      <c r="AF118" s="4">
        <f t="shared" si="93"/>
        <v>632.39149178661307</v>
      </c>
      <c r="AG118" s="4">
        <f t="shared" si="94"/>
        <v>-17.746235773141233</v>
      </c>
      <c r="AH118" s="4">
        <f t="shared" si="95"/>
        <v>83.408529076539338</v>
      </c>
      <c r="AI118" s="4">
        <f t="shared" si="96"/>
        <v>197.87966434164423</v>
      </c>
      <c r="AJ118" s="4">
        <f t="shared" si="97"/>
        <v>-9.9932674950411258</v>
      </c>
      <c r="AK118" s="4">
        <f t="shared" si="98"/>
        <v>-656.3395145606296</v>
      </c>
      <c r="AL118" s="4">
        <f t="shared" si="99"/>
        <v>-4794.0543978765527</v>
      </c>
      <c r="AM118" s="4">
        <f t="shared" si="100"/>
        <v>-26.347723078632193</v>
      </c>
      <c r="AN118" s="4">
        <f t="shared" si="101"/>
        <v>220.12409241078436</v>
      </c>
      <c r="AO118" s="4">
        <f t="shared" si="102"/>
        <v>3164.6150361979903</v>
      </c>
      <c r="AP118" s="4">
        <f t="shared" si="103"/>
        <v>12329.751472631568</v>
      </c>
      <c r="AQ118" s="4">
        <f t="shared" si="104"/>
        <v>2.8680072887906111E-2</v>
      </c>
      <c r="AR118" s="4">
        <f t="shared" si="105"/>
        <v>-0.41362696450011749</v>
      </c>
      <c r="AS118" s="4">
        <f t="shared" si="106"/>
        <v>1.2750854194615606E-2</v>
      </c>
      <c r="AT118" s="4">
        <f t="shared" si="107"/>
        <v>4.012042383387687</v>
      </c>
      <c r="AU118" s="4">
        <f t="shared" si="108"/>
        <v>0.95378849593442394</v>
      </c>
      <c r="AV118" s="4">
        <f t="shared" si="109"/>
        <v>-9.0445014472680923E-3</v>
      </c>
      <c r="AW118" s="4">
        <f t="shared" si="110"/>
        <v>-11.393791278616357</v>
      </c>
      <c r="AX118" s="4">
        <f t="shared" si="111"/>
        <v>-5.0313098349470646</v>
      </c>
      <c r="AY118" s="4">
        <f t="shared" si="112"/>
        <v>11.925261966661898</v>
      </c>
      <c r="AZ118" s="4">
        <f t="shared" si="113"/>
        <v>88.952177070725412</v>
      </c>
      <c r="BA118" s="4">
        <f t="shared" si="114"/>
        <v>-0.15736660679810713</v>
      </c>
      <c r="BB118" s="4">
        <f t="shared" si="115"/>
        <v>-5.9622866686237401</v>
      </c>
      <c r="BC118" s="4">
        <f t="shared" si="116"/>
        <v>-3.440548615387919</v>
      </c>
      <c r="BD118" s="4">
        <f t="shared" si="117"/>
        <v>15.143361541609039</v>
      </c>
      <c r="BE118" s="4">
        <f t="shared" si="118"/>
        <v>44.227403831179657</v>
      </c>
      <c r="BF118" s="4">
        <f t="shared" si="119"/>
        <v>-32.28939891241523</v>
      </c>
      <c r="BG118" s="4">
        <f t="shared" si="120"/>
        <v>-3.7289994136199436</v>
      </c>
      <c r="BH118" s="4">
        <f t="shared" si="121"/>
        <v>-65.185361115998219</v>
      </c>
      <c r="BI118" s="4">
        <f t="shared" si="122"/>
        <v>-8.6893668723851665</v>
      </c>
      <c r="BJ118" s="4">
        <f t="shared" si="123"/>
        <v>-236.93334554891788</v>
      </c>
      <c r="BK118" s="4">
        <f t="shared" si="124"/>
        <v>8.5865281168847812E-2</v>
      </c>
      <c r="BL118" s="4">
        <f t="shared" si="125"/>
        <v>3.9602641172248121</v>
      </c>
      <c r="BM118" s="4">
        <f t="shared" si="126"/>
        <v>9.4780511261767639</v>
      </c>
      <c r="BN118" s="4">
        <f t="shared" si="127"/>
        <v>-6.7325670058282903</v>
      </c>
      <c r="BO118" s="4">
        <f t="shared" si="128"/>
        <v>-71.628572642891896</v>
      </c>
      <c r="BP118" s="4">
        <f t="shared" si="129"/>
        <v>-47.90558552019877</v>
      </c>
      <c r="BQ118" s="4">
        <f t="shared" si="130"/>
        <v>-6.4039328917581075</v>
      </c>
      <c r="BR118" s="4">
        <f t="shared" si="131"/>
        <v>37.644204329846737</v>
      </c>
      <c r="BS118" s="4">
        <f t="shared" si="132"/>
        <v>338.1333540594494</v>
      </c>
      <c r="BT118" s="4">
        <f t="shared" si="133"/>
        <v>1462.9118652090556</v>
      </c>
      <c r="BU118" s="4">
        <f t="shared" si="134"/>
        <v>1.809093661683018</v>
      </c>
      <c r="BV118" s="4">
        <f t="shared" si="135"/>
        <v>30.3966775400107</v>
      </c>
      <c r="BW118" s="4">
        <f t="shared" si="136"/>
        <v>-169.11893206283381</v>
      </c>
      <c r="BX118" s="4">
        <f t="shared" si="137"/>
        <v>-1015.5126870811253</v>
      </c>
      <c r="BY118" s="4">
        <f t="shared" si="138"/>
        <v>-3168.2101348555252</v>
      </c>
      <c r="BZ118" s="6">
        <f t="shared" si="139"/>
        <v>-1.1129414990546138</v>
      </c>
      <c r="CA118" s="7"/>
      <c r="CB118" s="6">
        <v>-1.1129393573669399</v>
      </c>
      <c r="CC118" s="6"/>
    </row>
    <row r="119" spans="1:81" x14ac:dyDescent="0.3">
      <c r="A119" s="4">
        <v>117</v>
      </c>
      <c r="B119" s="4">
        <v>45485139</v>
      </c>
      <c r="C119" s="4">
        <v>2.7109999999999999</v>
      </c>
      <c r="D119" s="4">
        <v>4.1399999999999997</v>
      </c>
      <c r="E119" s="4">
        <v>0.61299999999999999</v>
      </c>
      <c r="F119" s="4">
        <v>3.7589999999999999</v>
      </c>
      <c r="H119" s="6">
        <v>-2618.81325553337</v>
      </c>
      <c r="I119" s="4">
        <f t="shared" si="70"/>
        <v>125.82510649309999</v>
      </c>
      <c r="J119" s="4">
        <f t="shared" si="71"/>
        <v>-2037.4110005399998</v>
      </c>
      <c r="K119" s="4">
        <f t="shared" si="72"/>
        <v>1452.0907057999998</v>
      </c>
      <c r="L119" s="4">
        <f t="shared" si="73"/>
        <v>12147.231505079999</v>
      </c>
      <c r="M119" s="4">
        <f t="shared" si="74"/>
        <v>28.397526237667218</v>
      </c>
      <c r="N119" s="4">
        <f t="shared" si="75"/>
        <v>28.392338074375793</v>
      </c>
      <c r="O119" s="4">
        <f t="shared" si="76"/>
        <v>-114.38483316904397</v>
      </c>
      <c r="P119" s="4">
        <f t="shared" si="77"/>
        <v>-390.73474527887095</v>
      </c>
      <c r="Q119" s="4">
        <f t="shared" si="78"/>
        <v>-205.69161116699999</v>
      </c>
      <c r="R119" s="4">
        <f t="shared" si="79"/>
        <v>459.2352430825199</v>
      </c>
      <c r="S119" s="4">
        <f t="shared" si="80"/>
        <v>6584.46016638942</v>
      </c>
      <c r="T119" s="4">
        <f t="shared" si="81"/>
        <v>-155.97071163829398</v>
      </c>
      <c r="U119" s="4">
        <f t="shared" si="82"/>
        <v>-4737.6082303277708</v>
      </c>
      <c r="V119" s="4">
        <f t="shared" si="83"/>
        <v>-21007.158923513696</v>
      </c>
      <c r="W119" s="4">
        <f t="shared" si="84"/>
        <v>-0.72100924451981119</v>
      </c>
      <c r="X119" s="4">
        <f t="shared" si="85"/>
        <v>4.0373076000619372</v>
      </c>
      <c r="Y119" s="4">
        <f t="shared" si="86"/>
        <v>2.6796697019038178</v>
      </c>
      <c r="Z119" s="4">
        <f t="shared" si="87"/>
        <v>-72.456159222779604</v>
      </c>
      <c r="AA119" s="4">
        <f t="shared" si="88"/>
        <v>10.795688746385474</v>
      </c>
      <c r="AB119" s="4">
        <f t="shared" si="89"/>
        <v>-74.137727729080694</v>
      </c>
      <c r="AC119" s="4">
        <f t="shared" si="90"/>
        <v>1.4642583813298786</v>
      </c>
      <c r="AD119" s="4">
        <f t="shared" si="91"/>
        <v>83.583214643086464</v>
      </c>
      <c r="AE119" s="4">
        <f t="shared" si="92"/>
        <v>124.36463327702853</v>
      </c>
      <c r="AF119" s="4">
        <f t="shared" si="93"/>
        <v>457.59793977601288</v>
      </c>
      <c r="AG119" s="4">
        <f t="shared" si="94"/>
        <v>-30.718888605545178</v>
      </c>
      <c r="AH119" s="4">
        <f t="shared" si="95"/>
        <v>166.01760132537382</v>
      </c>
      <c r="AI119" s="4">
        <f t="shared" si="96"/>
        <v>310.5582568039236</v>
      </c>
      <c r="AJ119" s="4">
        <f t="shared" si="97"/>
        <v>-22.871550404643404</v>
      </c>
      <c r="AK119" s="4">
        <f t="shared" si="98"/>
        <v>-1184.4449680567843</v>
      </c>
      <c r="AL119" s="4">
        <f t="shared" si="99"/>
        <v>-6821.6202053434354</v>
      </c>
      <c r="AM119" s="4">
        <f t="shared" si="100"/>
        <v>-69.33868538366562</v>
      </c>
      <c r="AN119" s="4">
        <f t="shared" si="101"/>
        <v>456.77080163099947</v>
      </c>
      <c r="AO119" s="4">
        <f t="shared" si="102"/>
        <v>5177.8550241832063</v>
      </c>
      <c r="AP119" s="4">
        <f t="shared" si="103"/>
        <v>15906.754004347884</v>
      </c>
      <c r="AQ119" s="4">
        <f t="shared" si="104"/>
        <v>3.9862675159995182E-3</v>
      </c>
      <c r="AR119" s="4">
        <f t="shared" si="105"/>
        <v>-0.11305286407108298</v>
      </c>
      <c r="AS119" s="4">
        <f t="shared" si="106"/>
        <v>4.0073421686665778E-3</v>
      </c>
      <c r="AT119" s="4">
        <f t="shared" si="107"/>
        <v>0.99421635264788055</v>
      </c>
      <c r="AU119" s="4">
        <f t="shared" si="108"/>
        <v>0.51263864574545859</v>
      </c>
      <c r="AV119" s="4">
        <f t="shared" si="109"/>
        <v>-5.5896976321843945E-3</v>
      </c>
      <c r="AW119" s="4">
        <f t="shared" si="110"/>
        <v>-5.5522649949893346</v>
      </c>
      <c r="AX119" s="4">
        <f t="shared" si="111"/>
        <v>-3.5754372985106961</v>
      </c>
      <c r="AY119" s="4">
        <f t="shared" si="112"/>
        <v>6.6821200650973047</v>
      </c>
      <c r="AZ119" s="4">
        <f t="shared" si="113"/>
        <v>39.300780138257629</v>
      </c>
      <c r="BA119" s="4">
        <f t="shared" si="114"/>
        <v>-0.16632532466603955</v>
      </c>
      <c r="BB119" s="4">
        <f t="shared" si="115"/>
        <v>-7.2460791405359481</v>
      </c>
      <c r="BC119" s="4">
        <f t="shared" si="116"/>
        <v>-3.2969788534905771</v>
      </c>
      <c r="BD119" s="4">
        <f t="shared" si="117"/>
        <v>21.162010781781973</v>
      </c>
      <c r="BE119" s="4">
        <f t="shared" si="118"/>
        <v>48.733132712489052</v>
      </c>
      <c r="BF119" s="4">
        <f t="shared" si="119"/>
        <v>-28.053760601370428</v>
      </c>
      <c r="BG119" s="4">
        <f t="shared" si="120"/>
        <v>-5.9919940818093851</v>
      </c>
      <c r="BH119" s="4">
        <f t="shared" si="121"/>
        <v>-82.589983514605166</v>
      </c>
      <c r="BI119" s="4">
        <f t="shared" si="122"/>
        <v>-8.6808785545745089</v>
      </c>
      <c r="BJ119" s="4">
        <f t="shared" si="123"/>
        <v>-186.63795892567958</v>
      </c>
      <c r="BK119" s="4">
        <f t="shared" si="124"/>
        <v>0.1784637162267444</v>
      </c>
      <c r="BL119" s="4">
        <f t="shared" si="125"/>
        <v>9.4645704242659789</v>
      </c>
      <c r="BM119" s="4">
        <f t="shared" si="126"/>
        <v>17.860517832464289</v>
      </c>
      <c r="BN119" s="4">
        <f t="shared" si="127"/>
        <v>-18.501283634502862</v>
      </c>
      <c r="BO119" s="4">
        <f t="shared" si="128"/>
        <v>-155.20500304925045</v>
      </c>
      <c r="BP119" s="4">
        <f t="shared" si="129"/>
        <v>-81.847197844366477</v>
      </c>
      <c r="BQ119" s="4">
        <f t="shared" si="130"/>
        <v>-20.235426825122662</v>
      </c>
      <c r="BR119" s="4">
        <f t="shared" si="131"/>
        <v>93.791171878806949</v>
      </c>
      <c r="BS119" s="4">
        <f t="shared" si="132"/>
        <v>664.27834585194159</v>
      </c>
      <c r="BT119" s="4">
        <f t="shared" si="133"/>
        <v>2266.096961193065</v>
      </c>
      <c r="BU119" s="4">
        <f t="shared" si="134"/>
        <v>6.5731125648952435</v>
      </c>
      <c r="BV119" s="4">
        <f t="shared" si="135"/>
        <v>87.083199492243935</v>
      </c>
      <c r="BW119" s="4">
        <f t="shared" si="136"/>
        <v>-382.03111065181525</v>
      </c>
      <c r="BX119" s="4">
        <f t="shared" si="137"/>
        <v>-1808.7981286853956</v>
      </c>
      <c r="BY119" s="4">
        <f t="shared" si="138"/>
        <v>-4449.5589855490007</v>
      </c>
      <c r="BZ119" s="6">
        <f t="shared" si="139"/>
        <v>-1.3397184160021425</v>
      </c>
      <c r="CA119" s="7"/>
      <c r="CB119" s="6">
        <v>-1.339717913002914</v>
      </c>
      <c r="CC119" s="6"/>
    </row>
    <row r="120" spans="1:81" x14ac:dyDescent="0.3">
      <c r="A120" s="4">
        <v>118</v>
      </c>
      <c r="B120" s="4">
        <v>171347497</v>
      </c>
      <c r="C120" s="4">
        <v>2.7970000000000002</v>
      </c>
      <c r="D120" s="4">
        <v>5.1909999999999998</v>
      </c>
      <c r="E120" s="4">
        <v>0.39800000000000002</v>
      </c>
      <c r="F120" s="4">
        <v>3.3279999999999998</v>
      </c>
      <c r="H120" s="6">
        <v>-2618.81325553337</v>
      </c>
      <c r="I120" s="4">
        <f t="shared" si="70"/>
        <v>129.8166074737</v>
      </c>
      <c r="J120" s="4">
        <f t="shared" si="71"/>
        <v>-2554.6378028509998</v>
      </c>
      <c r="K120" s="4">
        <f t="shared" si="72"/>
        <v>942.79298679999999</v>
      </c>
      <c r="L120" s="4">
        <f t="shared" si="73"/>
        <v>10754.45236736</v>
      </c>
      <c r="M120" s="4">
        <f t="shared" si="74"/>
        <v>30.227790741771386</v>
      </c>
      <c r="N120" s="4">
        <f t="shared" si="75"/>
        <v>36.729481212042288</v>
      </c>
      <c r="O120" s="4">
        <f t="shared" si="76"/>
        <v>-76.622089206247992</v>
      </c>
      <c r="P120" s="4">
        <f t="shared" si="77"/>
        <v>-356.90774500326398</v>
      </c>
      <c r="Q120" s="4">
        <f t="shared" si="78"/>
        <v>-323.38357325555751</v>
      </c>
      <c r="R120" s="4">
        <f t="shared" si="79"/>
        <v>373.85956389454799</v>
      </c>
      <c r="S120" s="4">
        <f t="shared" si="80"/>
        <v>7309.4021115548157</v>
      </c>
      <c r="T120" s="4">
        <f t="shared" si="81"/>
        <v>-65.748863281303997</v>
      </c>
      <c r="U120" s="4">
        <f t="shared" si="82"/>
        <v>-2723.2827427686402</v>
      </c>
      <c r="V120" s="4">
        <f t="shared" si="83"/>
        <v>-16466.045258956798</v>
      </c>
      <c r="W120" s="4">
        <f t="shared" si="84"/>
        <v>-0.79182585700226193</v>
      </c>
      <c r="X120" s="4">
        <f t="shared" si="85"/>
        <v>5.3885066684754754</v>
      </c>
      <c r="Y120" s="4">
        <f t="shared" si="86"/>
        <v>1.8519521484569215</v>
      </c>
      <c r="Z120" s="4">
        <f t="shared" si="87"/>
        <v>-68.282937908351443</v>
      </c>
      <c r="AA120" s="4">
        <f t="shared" si="88"/>
        <v>17.511150439614607</v>
      </c>
      <c r="AB120" s="4">
        <f t="shared" si="89"/>
        <v>-62.269518159567781</v>
      </c>
      <c r="AC120" s="4">
        <f t="shared" si="90"/>
        <v>1.6770358516129376</v>
      </c>
      <c r="AD120" s="4">
        <f t="shared" si="91"/>
        <v>36.351908300417833</v>
      </c>
      <c r="AE120" s="4">
        <f t="shared" si="92"/>
        <v>73.755333621531506</v>
      </c>
      <c r="AF120" s="4">
        <f t="shared" si="93"/>
        <v>370.0573147142357</v>
      </c>
      <c r="AG120" s="4">
        <f t="shared" si="94"/>
        <v>-60.556053270778712</v>
      </c>
      <c r="AH120" s="4">
        <f t="shared" si="95"/>
        <v>169.46425543292614</v>
      </c>
      <c r="AI120" s="4">
        <f t="shared" si="96"/>
        <v>432.27035001402345</v>
      </c>
      <c r="AJ120" s="4">
        <f t="shared" si="97"/>
        <v>-12.089030915136323</v>
      </c>
      <c r="AK120" s="4">
        <f t="shared" si="98"/>
        <v>-853.68797586913468</v>
      </c>
      <c r="AL120" s="4">
        <f t="shared" si="99"/>
        <v>-6704.4044845578974</v>
      </c>
      <c r="AM120" s="4">
        <f t="shared" si="100"/>
        <v>-18.9776920954689</v>
      </c>
      <c r="AN120" s="4">
        <f t="shared" si="101"/>
        <v>170.47257511160117</v>
      </c>
      <c r="AO120" s="4">
        <f t="shared" si="102"/>
        <v>2635.0840226004339</v>
      </c>
      <c r="AP120" s="4">
        <f t="shared" si="103"/>
        <v>11038.613832451752</v>
      </c>
      <c r="AQ120" s="4">
        <f t="shared" si="104"/>
        <v>4.5166686973273388E-3</v>
      </c>
      <c r="AR120" s="4">
        <f t="shared" si="105"/>
        <v>-0.15567579897505066</v>
      </c>
      <c r="AS120" s="4">
        <f t="shared" si="106"/>
        <v>2.857379143190062E-3</v>
      </c>
      <c r="AT120" s="4">
        <f t="shared" si="107"/>
        <v>0.96667556366807295</v>
      </c>
      <c r="AU120" s="4">
        <f t="shared" si="108"/>
        <v>0.85790384816507603</v>
      </c>
      <c r="AV120" s="4">
        <f t="shared" si="109"/>
        <v>-4.8438144538057865E-3</v>
      </c>
      <c r="AW120" s="4">
        <f t="shared" si="110"/>
        <v>-6.5608145634296937</v>
      </c>
      <c r="AX120" s="4">
        <f t="shared" si="111"/>
        <v>-1.6043542128684307</v>
      </c>
      <c r="AY120" s="4">
        <f t="shared" si="112"/>
        <v>4.0885918807569768</v>
      </c>
      <c r="AZ120" s="4">
        <f t="shared" si="113"/>
        <v>32.790576546009071</v>
      </c>
      <c r="BA120" s="4">
        <f t="shared" si="114"/>
        <v>-0.33827771778028537</v>
      </c>
      <c r="BB120" s="4">
        <f t="shared" si="115"/>
        <v>-7.6311500813823026</v>
      </c>
      <c r="BC120" s="4">
        <f t="shared" si="116"/>
        <v>-4.7346892221435439</v>
      </c>
      <c r="BD120" s="4">
        <f t="shared" si="117"/>
        <v>11.540264503262737</v>
      </c>
      <c r="BE120" s="4">
        <f t="shared" si="118"/>
        <v>36.238612077842674</v>
      </c>
      <c r="BF120" s="4">
        <f t="shared" si="119"/>
        <v>-28.446360330165984</v>
      </c>
      <c r="BG120" s="4">
        <f t="shared" si="120"/>
        <v>-1.6920068510849129</v>
      </c>
      <c r="BH120" s="4">
        <f t="shared" si="121"/>
        <v>-31.801420194524205</v>
      </c>
      <c r="BI120" s="4">
        <f t="shared" si="122"/>
        <v>-4.5579673579859561</v>
      </c>
      <c r="BJ120" s="4">
        <f t="shared" si="123"/>
        <v>-133.62751768618222</v>
      </c>
      <c r="BK120" s="4">
        <f t="shared" si="124"/>
        <v>0.44111587063988572</v>
      </c>
      <c r="BL120" s="4">
        <f t="shared" si="125"/>
        <v>12.113665243146185</v>
      </c>
      <c r="BM120" s="4">
        <f t="shared" si="126"/>
        <v>31.171456939432403</v>
      </c>
      <c r="BN120" s="4">
        <f t="shared" si="127"/>
        <v>-12.261636347551754</v>
      </c>
      <c r="BO120" s="4">
        <f t="shared" si="128"/>
        <v>-140.26221135711722</v>
      </c>
      <c r="BP120" s="4">
        <f t="shared" si="129"/>
        <v>-100.8619068869654</v>
      </c>
      <c r="BQ120" s="4">
        <f t="shared" si="130"/>
        <v>-6.9443379810963668</v>
      </c>
      <c r="BR120" s="4">
        <f t="shared" si="131"/>
        <v>43.890329067975429</v>
      </c>
      <c r="BS120" s="4">
        <f t="shared" si="132"/>
        <v>423.88238051760248</v>
      </c>
      <c r="BT120" s="4">
        <f t="shared" si="133"/>
        <v>1971.7967746353365</v>
      </c>
      <c r="BU120" s="4">
        <f t="shared" si="134"/>
        <v>1.1680500702747134</v>
      </c>
      <c r="BV120" s="4">
        <f t="shared" si="135"/>
        <v>21.101491899083452</v>
      </c>
      <c r="BW120" s="4">
        <f t="shared" si="136"/>
        <v>-126.23096723764979</v>
      </c>
      <c r="BX120" s="4">
        <f t="shared" si="137"/>
        <v>-814.97760218436008</v>
      </c>
      <c r="BY120" s="4">
        <f t="shared" si="138"/>
        <v>-2733.7634702987743</v>
      </c>
      <c r="BZ120" s="6">
        <f t="shared" si="139"/>
        <v>-1.1236505110136932</v>
      </c>
      <c r="CA120" s="7"/>
      <c r="CB120" s="6">
        <v>-1.123649416324042</v>
      </c>
      <c r="CC120" s="6"/>
    </row>
    <row r="121" spans="1:81" x14ac:dyDescent="0.3">
      <c r="A121" s="4">
        <v>119</v>
      </c>
      <c r="B121" s="4">
        <v>8013219</v>
      </c>
      <c r="C121" s="4">
        <v>2.9119999999999999</v>
      </c>
      <c r="D121" s="4">
        <v>4.4269999999999996</v>
      </c>
      <c r="E121" s="4">
        <v>0.42899999999999999</v>
      </c>
      <c r="F121" s="4">
        <v>3.82</v>
      </c>
      <c r="H121" s="6">
        <v>-2618.81325553337</v>
      </c>
      <c r="I121" s="4">
        <f t="shared" si="70"/>
        <v>135.1540797152</v>
      </c>
      <c r="J121" s="4">
        <f t="shared" si="71"/>
        <v>-2178.651811447</v>
      </c>
      <c r="K121" s="4">
        <f t="shared" si="72"/>
        <v>1016.2266113999999</v>
      </c>
      <c r="L121" s="4">
        <f t="shared" si="73"/>
        <v>12344.353378399999</v>
      </c>
      <c r="M121" s="4">
        <f t="shared" si="74"/>
        <v>32.764550605230085</v>
      </c>
      <c r="N121" s="4">
        <f t="shared" si="75"/>
        <v>32.611606361996472</v>
      </c>
      <c r="O121" s="4">
        <f t="shared" si="76"/>
        <v>-85.985874758783993</v>
      </c>
      <c r="P121" s="4">
        <f t="shared" si="77"/>
        <v>-426.51560159935997</v>
      </c>
      <c r="Q121" s="4">
        <f t="shared" si="78"/>
        <v>-235.19871340001745</v>
      </c>
      <c r="R121" s="4">
        <f t="shared" si="79"/>
        <v>343.66967186923796</v>
      </c>
      <c r="S121" s="4">
        <f t="shared" si="80"/>
        <v>7155.1771849483794</v>
      </c>
      <c r="T121" s="4">
        <f t="shared" si="81"/>
        <v>-76.390031483765995</v>
      </c>
      <c r="U121" s="4">
        <f t="shared" si="82"/>
        <v>-3369.3567697218004</v>
      </c>
      <c r="V121" s="4">
        <f t="shared" si="83"/>
        <v>-21694.48751748</v>
      </c>
      <c r="W121" s="4">
        <f t="shared" si="84"/>
        <v>-0.8935654993993728</v>
      </c>
      <c r="X121" s="4">
        <f t="shared" si="85"/>
        <v>4.9810938709941892</v>
      </c>
      <c r="Y121" s="4">
        <f t="shared" si="86"/>
        <v>2.1637236380875313</v>
      </c>
      <c r="Z121" s="4">
        <f t="shared" si="87"/>
        <v>-84.955216781199567</v>
      </c>
      <c r="AA121" s="4">
        <f t="shared" si="88"/>
        <v>13.259604475597852</v>
      </c>
      <c r="AB121" s="4">
        <f t="shared" si="89"/>
        <v>-59.594629300013793</v>
      </c>
      <c r="AC121" s="4">
        <f t="shared" si="90"/>
        <v>1.7091484665602314</v>
      </c>
      <c r="AD121" s="4">
        <f t="shared" si="91"/>
        <v>43.971831861724162</v>
      </c>
      <c r="AE121" s="4">
        <f t="shared" si="92"/>
        <v>95.005030451018683</v>
      </c>
      <c r="AF121" s="4">
        <f t="shared" si="93"/>
        <v>507.60745054061954</v>
      </c>
      <c r="AG121" s="4">
        <f t="shared" si="94"/>
        <v>-37.560645016597292</v>
      </c>
      <c r="AH121" s="4">
        <f t="shared" si="95"/>
        <v>132.8523723804455</v>
      </c>
      <c r="AI121" s="4">
        <f t="shared" si="96"/>
        <v>360.87141227452975</v>
      </c>
      <c r="AJ121" s="4">
        <f t="shared" si="97"/>
        <v>-11.978389241749099</v>
      </c>
      <c r="AK121" s="4">
        <f t="shared" si="98"/>
        <v>-900.76587114814868</v>
      </c>
      <c r="AL121" s="4">
        <f t="shared" si="99"/>
        <v>-7533.1877514332973</v>
      </c>
      <c r="AM121" s="4">
        <f t="shared" si="100"/>
        <v>-23.766545250465729</v>
      </c>
      <c r="AN121" s="4">
        <f t="shared" si="101"/>
        <v>227.34374356781797</v>
      </c>
      <c r="AO121" s="4">
        <f t="shared" si="102"/>
        <v>3742.2153722574194</v>
      </c>
      <c r="AP121" s="4">
        <f t="shared" si="103"/>
        <v>16693.779638335425</v>
      </c>
      <c r="AQ121" s="4">
        <f t="shared" si="104"/>
        <v>5.3065694545213786E-3</v>
      </c>
      <c r="AR121" s="4">
        <f t="shared" si="105"/>
        <v>-0.14982224803625024</v>
      </c>
      <c r="AS121" s="4">
        <f t="shared" si="106"/>
        <v>3.475672144473941E-3</v>
      </c>
      <c r="AT121" s="4">
        <f t="shared" si="107"/>
        <v>1.2521532884904525</v>
      </c>
      <c r="AU121" s="4">
        <f t="shared" si="108"/>
        <v>0.67632183780275323</v>
      </c>
      <c r="AV121" s="4">
        <f t="shared" si="109"/>
        <v>-4.8263411919120614E-3</v>
      </c>
      <c r="AW121" s="4">
        <f t="shared" si="110"/>
        <v>-6.9613602627143729</v>
      </c>
      <c r="AX121" s="4">
        <f t="shared" si="111"/>
        <v>-2.02044255802197</v>
      </c>
      <c r="AY121" s="4">
        <f t="shared" si="112"/>
        <v>5.4830958242263002</v>
      </c>
      <c r="AZ121" s="4">
        <f t="shared" si="113"/>
        <v>46.828144727576685</v>
      </c>
      <c r="BA121" s="4">
        <f t="shared" si="114"/>
        <v>-0.21844785041510439</v>
      </c>
      <c r="BB121" s="4">
        <f t="shared" si="115"/>
        <v>-6.2284517646050235</v>
      </c>
      <c r="BC121" s="4">
        <f t="shared" si="116"/>
        <v>-4.1151665199549461</v>
      </c>
      <c r="BD121" s="4">
        <f t="shared" si="117"/>
        <v>11.90478620889593</v>
      </c>
      <c r="BE121" s="4">
        <f t="shared" si="118"/>
        <v>39.809178795011796</v>
      </c>
      <c r="BF121" s="4">
        <f t="shared" si="119"/>
        <v>-33.277002160078013</v>
      </c>
      <c r="BG121" s="4">
        <f t="shared" si="120"/>
        <v>-2.2060923152982479</v>
      </c>
      <c r="BH121" s="4">
        <f t="shared" si="121"/>
        <v>-44.154391598389317</v>
      </c>
      <c r="BI121" s="4">
        <f t="shared" si="122"/>
        <v>-6.7391391781871848</v>
      </c>
      <c r="BJ121" s="4">
        <f t="shared" si="123"/>
        <v>-210.39477053681702</v>
      </c>
      <c r="BK121" s="4">
        <f t="shared" si="124"/>
        <v>0.23333863645240149</v>
      </c>
      <c r="BL121" s="4">
        <f t="shared" si="125"/>
        <v>8.0988856541507577</v>
      </c>
      <c r="BM121" s="4">
        <f t="shared" si="126"/>
        <v>22.192826916162836</v>
      </c>
      <c r="BN121" s="4">
        <f t="shared" si="127"/>
        <v>-10.361290690900924</v>
      </c>
      <c r="BO121" s="4">
        <f t="shared" si="128"/>
        <v>-126.21527946902637</v>
      </c>
      <c r="BP121" s="4">
        <f t="shared" si="129"/>
        <v>-96.650532564236869</v>
      </c>
      <c r="BQ121" s="4">
        <f t="shared" si="130"/>
        <v>-7.4167220431036132</v>
      </c>
      <c r="BR121" s="4">
        <f t="shared" si="131"/>
        <v>49.917843553695704</v>
      </c>
      <c r="BS121" s="4">
        <f t="shared" si="132"/>
        <v>513.3790812958398</v>
      </c>
      <c r="BT121" s="4">
        <f t="shared" si="133"/>
        <v>2543.0844413471841</v>
      </c>
      <c r="BU121" s="4">
        <f t="shared" si="134"/>
        <v>1.5767336647745374</v>
      </c>
      <c r="BV121" s="4">
        <f t="shared" si="135"/>
        <v>30.333035062330737</v>
      </c>
      <c r="BW121" s="4">
        <f t="shared" si="136"/>
        <v>-193.22994968617684</v>
      </c>
      <c r="BX121" s="4">
        <f t="shared" si="137"/>
        <v>-1328.4953214339357</v>
      </c>
      <c r="BY121" s="4">
        <f t="shared" si="138"/>
        <v>-4745.490596579627</v>
      </c>
      <c r="BZ121" s="6">
        <f t="shared" si="139"/>
        <v>-1.935640421215794</v>
      </c>
      <c r="CA121" s="7"/>
      <c r="CB121" s="6">
        <v>-1.93563990210987</v>
      </c>
      <c r="CC121" s="6"/>
    </row>
    <row r="122" spans="1:81" x14ac:dyDescent="0.3">
      <c r="A122" s="4">
        <v>120</v>
      </c>
      <c r="B122" s="4">
        <v>164612080</v>
      </c>
      <c r="C122" s="4">
        <v>2.6989999999999998</v>
      </c>
      <c r="D122" s="4">
        <v>3.899</v>
      </c>
      <c r="E122" s="4">
        <v>0.44600000000000001</v>
      </c>
      <c r="F122" s="4">
        <v>3.528</v>
      </c>
      <c r="H122" s="6">
        <v>-2618.81325553337</v>
      </c>
      <c r="I122" s="4">
        <f t="shared" si="70"/>
        <v>125.2681528679</v>
      </c>
      <c r="J122" s="4">
        <f t="shared" si="71"/>
        <v>-1918.8080896389999</v>
      </c>
      <c r="K122" s="4">
        <f t="shared" si="72"/>
        <v>1056.4966635999999</v>
      </c>
      <c r="L122" s="4">
        <f t="shared" si="73"/>
        <v>11400.75359136</v>
      </c>
      <c r="M122" s="4">
        <f t="shared" si="74"/>
        <v>28.146684393232821</v>
      </c>
      <c r="N122" s="4">
        <f t="shared" si="75"/>
        <v>26.621187155231269</v>
      </c>
      <c r="O122" s="4">
        <f t="shared" si="76"/>
        <v>-82.854517825431998</v>
      </c>
      <c r="P122" s="4">
        <f t="shared" si="77"/>
        <v>-365.09984569648793</v>
      </c>
      <c r="Q122" s="4">
        <f t="shared" si="78"/>
        <v>-182.44096810745751</v>
      </c>
      <c r="R122" s="4">
        <f t="shared" si="79"/>
        <v>314.67517905104398</v>
      </c>
      <c r="S122" s="4">
        <f t="shared" si="80"/>
        <v>5820.0848942196244</v>
      </c>
      <c r="T122" s="4">
        <f t="shared" si="81"/>
        <v>-82.564208533016</v>
      </c>
      <c r="U122" s="4">
        <f t="shared" si="82"/>
        <v>-3235.1154181012803</v>
      </c>
      <c r="V122" s="4">
        <f t="shared" si="83"/>
        <v>-18504.605145196801</v>
      </c>
      <c r="W122" s="4">
        <f t="shared" si="84"/>
        <v>-0.71147711286006055</v>
      </c>
      <c r="X122" s="4">
        <f t="shared" si="85"/>
        <v>3.7686991293278775</v>
      </c>
      <c r="Y122" s="4">
        <f t="shared" si="86"/>
        <v>1.9324238281723602</v>
      </c>
      <c r="Z122" s="4">
        <f t="shared" si="87"/>
        <v>-67.40285520960667</v>
      </c>
      <c r="AA122" s="4">
        <f t="shared" si="88"/>
        <v>9.532998175550377</v>
      </c>
      <c r="AB122" s="4">
        <f t="shared" si="89"/>
        <v>-50.575468710292526</v>
      </c>
      <c r="AC122" s="4">
        <f t="shared" si="90"/>
        <v>1.2885468997806606</v>
      </c>
      <c r="AD122" s="4">
        <f t="shared" si="91"/>
        <v>44.049522564675229</v>
      </c>
      <c r="AE122" s="4">
        <f t="shared" si="92"/>
        <v>84.54752435217685</v>
      </c>
      <c r="AF122" s="4">
        <f t="shared" si="93"/>
        <v>401.3007107788535</v>
      </c>
      <c r="AG122" s="4">
        <f t="shared" si="94"/>
        <v>-25.660444864151387</v>
      </c>
      <c r="AH122" s="4">
        <f t="shared" si="95"/>
        <v>107.13572356799335</v>
      </c>
      <c r="AI122" s="4">
        <f t="shared" si="96"/>
        <v>258.52653128675496</v>
      </c>
      <c r="AJ122" s="4">
        <f t="shared" si="97"/>
        <v>-11.402426140935939</v>
      </c>
      <c r="AK122" s="4">
        <f t="shared" si="98"/>
        <v>-761.72536266227655</v>
      </c>
      <c r="AL122" s="4">
        <f t="shared" si="99"/>
        <v>-5659.1724976333589</v>
      </c>
      <c r="AM122" s="4">
        <f t="shared" si="100"/>
        <v>-26.705379628892771</v>
      </c>
      <c r="AN122" s="4">
        <f t="shared" si="101"/>
        <v>226.93597804485822</v>
      </c>
      <c r="AO122" s="4">
        <f t="shared" si="102"/>
        <v>3318.4614131137891</v>
      </c>
      <c r="AP122" s="4">
        <f t="shared" si="103"/>
        <v>13150.743801394141</v>
      </c>
      <c r="AQ122" s="4">
        <f t="shared" si="104"/>
        <v>3.9161553227859049E-3</v>
      </c>
      <c r="AR122" s="4">
        <f t="shared" si="105"/>
        <v>-0.10506415311967895</v>
      </c>
      <c r="AS122" s="4">
        <f t="shared" si="106"/>
        <v>2.8770731998958112E-3</v>
      </c>
      <c r="AT122" s="4">
        <f t="shared" si="107"/>
        <v>0.92078291773900811</v>
      </c>
      <c r="AU122" s="4">
        <f t="shared" si="108"/>
        <v>0.45067541245220649</v>
      </c>
      <c r="AV122" s="4">
        <f t="shared" si="109"/>
        <v>-3.7963157621291781E-3</v>
      </c>
      <c r="AW122" s="4">
        <f t="shared" si="110"/>
        <v>-4.864363985819451</v>
      </c>
      <c r="AX122" s="4">
        <f t="shared" si="111"/>
        <v>-1.8759647288102863</v>
      </c>
      <c r="AY122" s="4">
        <f t="shared" si="112"/>
        <v>4.522636086822347</v>
      </c>
      <c r="AZ122" s="4">
        <f t="shared" si="113"/>
        <v>34.313135624992839</v>
      </c>
      <c r="BA122" s="4">
        <f t="shared" si="114"/>
        <v>-0.1383217354092785</v>
      </c>
      <c r="BB122" s="4">
        <f t="shared" si="115"/>
        <v>-4.655395820192834</v>
      </c>
      <c r="BC122" s="4">
        <f t="shared" si="116"/>
        <v>-2.7324458711999147</v>
      </c>
      <c r="BD122" s="4">
        <f t="shared" si="117"/>
        <v>10.503449718462356</v>
      </c>
      <c r="BE122" s="4">
        <f t="shared" si="118"/>
        <v>31.20191331897307</v>
      </c>
      <c r="BF122" s="4">
        <f t="shared" si="119"/>
        <v>-23.17020355237393</v>
      </c>
      <c r="BG122" s="4">
        <f t="shared" si="120"/>
        <v>-2.297565468323024</v>
      </c>
      <c r="BH122" s="4">
        <f t="shared" si="121"/>
        <v>-40.851289089513074</v>
      </c>
      <c r="BI122" s="4">
        <f t="shared" si="122"/>
        <v>-5.538905212969226</v>
      </c>
      <c r="BJ122" s="4">
        <f t="shared" si="123"/>
        <v>-153.6179961017265</v>
      </c>
      <c r="BK122" s="4">
        <f t="shared" si="124"/>
        <v>0.14039818985978164</v>
      </c>
      <c r="BL122" s="4">
        <f t="shared" si="125"/>
        <v>5.7521999434397424</v>
      </c>
      <c r="BM122" s="4">
        <f t="shared" si="126"/>
        <v>14.002609555391579</v>
      </c>
      <c r="BN122" s="4">
        <f t="shared" si="127"/>
        <v>-8.6867318932812569</v>
      </c>
      <c r="BO122" s="4">
        <f t="shared" si="128"/>
        <v>-94.003092187856922</v>
      </c>
      <c r="BP122" s="4">
        <f t="shared" si="129"/>
        <v>-63.947284190864437</v>
      </c>
      <c r="BQ122" s="4">
        <f t="shared" si="130"/>
        <v>-7.3398708120159295</v>
      </c>
      <c r="BR122" s="4">
        <f t="shared" si="131"/>
        <v>43.885381230724867</v>
      </c>
      <c r="BS122" s="4">
        <f t="shared" si="132"/>
        <v>400.94968377797045</v>
      </c>
      <c r="BT122" s="4">
        <f t="shared" si="133"/>
        <v>1764.4125358852411</v>
      </c>
      <c r="BU122" s="4">
        <f t="shared" si="134"/>
        <v>1.8419108511671172</v>
      </c>
      <c r="BV122" s="4">
        <f t="shared" si="135"/>
        <v>31.478481943302562</v>
      </c>
      <c r="BW122" s="4">
        <f t="shared" si="136"/>
        <v>-178.13940645209826</v>
      </c>
      <c r="BX122" s="4">
        <f t="shared" si="137"/>
        <v>-1088.0108754383318</v>
      </c>
      <c r="BY122" s="4">
        <f t="shared" si="138"/>
        <v>-3452.5658565293611</v>
      </c>
      <c r="BZ122" s="6">
        <f t="shared" si="139"/>
        <v>-1.5489766660798523</v>
      </c>
      <c r="CA122" s="7"/>
      <c r="CB122" s="6">
        <v>-1.548974476978856</v>
      </c>
      <c r="CC122" s="6"/>
    </row>
    <row r="123" spans="1:81" x14ac:dyDescent="0.3">
      <c r="A123" s="4">
        <v>121</v>
      </c>
      <c r="B123" s="4">
        <v>72735409</v>
      </c>
      <c r="C123" s="4">
        <v>2.64</v>
      </c>
      <c r="D123" s="4">
        <v>5.3879999999999999</v>
      </c>
      <c r="E123" s="4">
        <v>0.74299999999999999</v>
      </c>
      <c r="F123" s="4">
        <v>4.0869999999999997</v>
      </c>
      <c r="H123" s="6">
        <v>-2618.81325553337</v>
      </c>
      <c r="I123" s="4">
        <f t="shared" si="70"/>
        <v>122.529797544</v>
      </c>
      <c r="J123" s="4">
        <f t="shared" si="71"/>
        <v>-2651.5870702679999</v>
      </c>
      <c r="K123" s="4">
        <f t="shared" si="72"/>
        <v>1760.0381637999999</v>
      </c>
      <c r="L123" s="4">
        <f t="shared" si="73"/>
        <v>13207.165512439999</v>
      </c>
      <c r="M123" s="4">
        <f t="shared" si="74"/>
        <v>26.929564371072004</v>
      </c>
      <c r="N123" s="4">
        <f t="shared" si="75"/>
        <v>35.983451060726395</v>
      </c>
      <c r="O123" s="4">
        <f t="shared" si="76"/>
        <v>-135.01163344416</v>
      </c>
      <c r="P123" s="4">
        <f t="shared" si="77"/>
        <v>-413.70307881671999</v>
      </c>
      <c r="Q123" s="4">
        <f t="shared" si="78"/>
        <v>-348.39432474588</v>
      </c>
      <c r="R123" s="4">
        <f t="shared" si="79"/>
        <v>724.42060542842387</v>
      </c>
      <c r="S123" s="4">
        <f t="shared" si="80"/>
        <v>9317.0780282414507</v>
      </c>
      <c r="T123" s="4">
        <f t="shared" si="81"/>
        <v>-229.139379217574</v>
      </c>
      <c r="U123" s="4">
        <f t="shared" si="82"/>
        <v>-6243.3803869737103</v>
      </c>
      <c r="V123" s="4">
        <f t="shared" si="83"/>
        <v>-24833.157614091295</v>
      </c>
      <c r="W123" s="4">
        <f t="shared" si="84"/>
        <v>-0.66583107613440018</v>
      </c>
      <c r="X123" s="4">
        <f t="shared" si="85"/>
        <v>4.9827363010013963</v>
      </c>
      <c r="Y123" s="4">
        <f t="shared" si="86"/>
        <v>3.0800546595466565</v>
      </c>
      <c r="Z123" s="4">
        <f t="shared" si="87"/>
        <v>-74.706164477790907</v>
      </c>
      <c r="AA123" s="4">
        <f t="shared" si="88"/>
        <v>17.806528368750907</v>
      </c>
      <c r="AB123" s="4">
        <f t="shared" si="89"/>
        <v>-113.88571835409648</v>
      </c>
      <c r="AC123" s="4">
        <f t="shared" si="90"/>
        <v>2.0176771970120324</v>
      </c>
      <c r="AD123" s="4">
        <f t="shared" si="91"/>
        <v>119.57768960542893</v>
      </c>
      <c r="AE123" s="4">
        <f t="shared" si="92"/>
        <v>159.599657159792</v>
      </c>
      <c r="AF123" s="4">
        <f t="shared" si="93"/>
        <v>526.77249890812823</v>
      </c>
      <c r="AG123" s="4">
        <f t="shared" si="94"/>
        <v>-67.715367046459363</v>
      </c>
      <c r="AH123" s="4">
        <f t="shared" si="95"/>
        <v>340.82933394027589</v>
      </c>
      <c r="AI123" s="4">
        <f t="shared" si="96"/>
        <v>571.91288895955017</v>
      </c>
      <c r="AJ123" s="4">
        <f t="shared" si="97"/>
        <v>-43.730005276295145</v>
      </c>
      <c r="AK123" s="4">
        <f t="shared" si="98"/>
        <v>-2031.4343156023401</v>
      </c>
      <c r="AL123" s="4">
        <f t="shared" si="99"/>
        <v>-10494.926617592466</v>
      </c>
      <c r="AM123" s="4">
        <f t="shared" si="100"/>
        <v>-123.46976489514552</v>
      </c>
      <c r="AN123" s="4">
        <f t="shared" si="101"/>
        <v>729.60419939285839</v>
      </c>
      <c r="AO123" s="4">
        <f t="shared" si="102"/>
        <v>7418.95692609448</v>
      </c>
      <c r="AP123" s="4">
        <f t="shared" si="103"/>
        <v>20444.594484888563</v>
      </c>
      <c r="AQ123" s="4">
        <f t="shared" si="104"/>
        <v>3.5847929577177912E-3</v>
      </c>
      <c r="AR123" s="4">
        <f t="shared" si="105"/>
        <v>-0.13587264913139951</v>
      </c>
      <c r="AS123" s="4">
        <f t="shared" si="106"/>
        <v>4.4854703842568469E-3</v>
      </c>
      <c r="AT123" s="4">
        <f t="shared" si="107"/>
        <v>0.998243387168397</v>
      </c>
      <c r="AU123" s="4">
        <f t="shared" si="108"/>
        <v>0.82340718673209323</v>
      </c>
      <c r="AV123" s="4">
        <f t="shared" si="109"/>
        <v>-8.3616641445224387E-3</v>
      </c>
      <c r="AW123" s="4">
        <f t="shared" si="110"/>
        <v>-7.4503823684973405</v>
      </c>
      <c r="AX123" s="4">
        <f t="shared" si="111"/>
        <v>-4.9812078449413981</v>
      </c>
      <c r="AY123" s="4">
        <f t="shared" si="112"/>
        <v>8.3507165894419817</v>
      </c>
      <c r="AZ123" s="4">
        <f t="shared" si="113"/>
        <v>44.056968839445695</v>
      </c>
      <c r="BA123" s="4">
        <f t="shared" si="114"/>
        <v>-0.35703807058863263</v>
      </c>
      <c r="BB123" s="4">
        <f t="shared" si="115"/>
        <v>-14.486394682922498</v>
      </c>
      <c r="BC123" s="4">
        <f t="shared" si="116"/>
        <v>-5.9125846939208548</v>
      </c>
      <c r="BD123" s="4">
        <f t="shared" si="117"/>
        <v>39.401727671988525</v>
      </c>
      <c r="BE123" s="4">
        <f t="shared" si="118"/>
        <v>81.392921361526192</v>
      </c>
      <c r="BF123" s="4">
        <f t="shared" si="119"/>
        <v>-42.029804102965258</v>
      </c>
      <c r="BG123" s="4">
        <f t="shared" si="120"/>
        <v>-10.390364969785201</v>
      </c>
      <c r="BH123" s="4">
        <f t="shared" si="121"/>
        <v>-128.46676238851629</v>
      </c>
      <c r="BI123" s="4">
        <f t="shared" si="122"/>
        <v>-12.112423663893813</v>
      </c>
      <c r="BJ123" s="4">
        <f t="shared" si="123"/>
        <v>-233.59918414228505</v>
      </c>
      <c r="BK123" s="4">
        <f t="shared" si="124"/>
        <v>0.51198697894221545</v>
      </c>
      <c r="BL123" s="4">
        <f t="shared" si="125"/>
        <v>25.287796278755902</v>
      </c>
      <c r="BM123" s="4">
        <f t="shared" si="126"/>
        <v>42.806339943546966</v>
      </c>
      <c r="BN123" s="4">
        <f t="shared" si="127"/>
        <v>-46.037637769253081</v>
      </c>
      <c r="BO123" s="4">
        <f t="shared" si="128"/>
        <v>-346.43428036169115</v>
      </c>
      <c r="BP123" s="4">
        <f t="shared" si="129"/>
        <v>-163.8788588615283</v>
      </c>
      <c r="BQ123" s="4">
        <f t="shared" si="130"/>
        <v>-46.894794066151739</v>
      </c>
      <c r="BR123" s="4">
        <f t="shared" si="131"/>
        <v>194.97467209324086</v>
      </c>
      <c r="BS123" s="4">
        <f t="shared" si="132"/>
        <v>1238.7118855459912</v>
      </c>
      <c r="BT123" s="4">
        <f t="shared" si="133"/>
        <v>3790.5538462144009</v>
      </c>
      <c r="BU123" s="4">
        <f t="shared" si="134"/>
        <v>14.186799358601004</v>
      </c>
      <c r="BV123" s="4">
        <f t="shared" si="135"/>
        <v>168.59772365497241</v>
      </c>
      <c r="BW123" s="4">
        <f t="shared" si="136"/>
        <v>-663.46808016654859</v>
      </c>
      <c r="BX123" s="4">
        <f t="shared" si="137"/>
        <v>-2817.8338069401188</v>
      </c>
      <c r="BY123" s="4">
        <f t="shared" si="138"/>
        <v>-6217.9355523794929</v>
      </c>
      <c r="BZ123" s="6">
        <f t="shared" si="139"/>
        <v>-1.5910154686525857</v>
      </c>
      <c r="CA123" s="7"/>
      <c r="CB123" s="6">
        <v>-1.591019805843644</v>
      </c>
      <c r="CC123" s="6"/>
    </row>
    <row r="124" spans="1:81" x14ac:dyDescent="0.3">
      <c r="A124" s="4">
        <v>122</v>
      </c>
      <c r="B124" s="4">
        <v>4169225</v>
      </c>
      <c r="C124" s="4">
        <v>2.964</v>
      </c>
      <c r="D124" s="4">
        <v>4.7809999999999997</v>
      </c>
      <c r="E124" s="4">
        <v>0.60299999999999998</v>
      </c>
      <c r="F124" s="4">
        <v>3.9</v>
      </c>
      <c r="H124" s="6">
        <v>-2618.81325553337</v>
      </c>
      <c r="I124" s="4">
        <f t="shared" si="70"/>
        <v>137.56754542440001</v>
      </c>
      <c r="J124" s="4">
        <f t="shared" si="71"/>
        <v>-2352.865215841</v>
      </c>
      <c r="K124" s="4">
        <f t="shared" si="72"/>
        <v>1428.4024397999999</v>
      </c>
      <c r="L124" s="4">
        <f t="shared" si="73"/>
        <v>12602.873868000001</v>
      </c>
      <c r="M124" s="4">
        <f t="shared" si="74"/>
        <v>33.945161006502723</v>
      </c>
      <c r="N124" s="4">
        <f t="shared" si="75"/>
        <v>35.848273302430677</v>
      </c>
      <c r="O124" s="4">
        <f t="shared" si="76"/>
        <v>-123.01950138753598</v>
      </c>
      <c r="P124" s="4">
        <f t="shared" si="77"/>
        <v>-443.22372024839996</v>
      </c>
      <c r="Q124" s="4">
        <f t="shared" si="78"/>
        <v>-274.31741849765746</v>
      </c>
      <c r="R124" s="4">
        <f t="shared" si="79"/>
        <v>521.68752291259784</v>
      </c>
      <c r="S124" s="4">
        <f t="shared" si="80"/>
        <v>7889.1617166453007</v>
      </c>
      <c r="T124" s="4">
        <f t="shared" si="81"/>
        <v>-150.92345161013398</v>
      </c>
      <c r="U124" s="4">
        <f t="shared" si="82"/>
        <v>-4835.1312045270006</v>
      </c>
      <c r="V124" s="4">
        <f t="shared" si="83"/>
        <v>-22612.672016999997</v>
      </c>
      <c r="W124" s="4">
        <f t="shared" si="84"/>
        <v>-0.94229498183689464</v>
      </c>
      <c r="X124" s="4">
        <f t="shared" si="85"/>
        <v>5.5732382019756317</v>
      </c>
      <c r="Y124" s="4">
        <f t="shared" si="86"/>
        <v>3.1509061432527838</v>
      </c>
      <c r="Z124" s="4">
        <f t="shared" si="87"/>
        <v>-89.859697830652465</v>
      </c>
      <c r="AA124" s="4">
        <f t="shared" si="88"/>
        <v>15.741127682713724</v>
      </c>
      <c r="AB124" s="4">
        <f t="shared" si="89"/>
        <v>-92.079551016617344</v>
      </c>
      <c r="AC124" s="4">
        <f t="shared" si="90"/>
        <v>1.9181257880268554</v>
      </c>
      <c r="AD124" s="4">
        <f t="shared" si="91"/>
        <v>88.426294689222061</v>
      </c>
      <c r="AE124" s="4">
        <f t="shared" si="92"/>
        <v>138.76971432107004</v>
      </c>
      <c r="AF124" s="4">
        <f t="shared" si="93"/>
        <v>538.53918012507597</v>
      </c>
      <c r="AG124" s="4">
        <f t="shared" si="94"/>
        <v>-47.310845210033598</v>
      </c>
      <c r="AH124" s="4">
        <f t="shared" si="95"/>
        <v>217.79493593046067</v>
      </c>
      <c r="AI124" s="4">
        <f t="shared" si="96"/>
        <v>429.70674106514559</v>
      </c>
      <c r="AJ124" s="4">
        <f t="shared" si="97"/>
        <v>-25.558048100436412</v>
      </c>
      <c r="AK124" s="4">
        <f t="shared" si="98"/>
        <v>-1395.9903261537322</v>
      </c>
      <c r="AL124" s="4">
        <f t="shared" si="99"/>
        <v>-8479.8955229461189</v>
      </c>
      <c r="AM124" s="4">
        <f t="shared" si="100"/>
        <v>-66.000331415483657</v>
      </c>
      <c r="AN124" s="4">
        <f t="shared" si="101"/>
        <v>458.56857626322204</v>
      </c>
      <c r="AO124" s="4">
        <f t="shared" si="102"/>
        <v>5482.6596478227602</v>
      </c>
      <c r="AP124" s="4">
        <f t="shared" si="103"/>
        <v>17764.721719992001</v>
      </c>
      <c r="AQ124" s="4">
        <f t="shared" si="104"/>
        <v>5.6958844122258143E-3</v>
      </c>
      <c r="AR124" s="4">
        <f t="shared" si="105"/>
        <v>-0.17062631715745527</v>
      </c>
      <c r="AS124" s="4">
        <f t="shared" si="106"/>
        <v>5.1518037304597543E-3</v>
      </c>
      <c r="AT124" s="4">
        <f t="shared" si="107"/>
        <v>1.3480910596735518</v>
      </c>
      <c r="AU124" s="4">
        <f t="shared" si="108"/>
        <v>0.81723227776141272</v>
      </c>
      <c r="AV124" s="4">
        <f t="shared" si="109"/>
        <v>-7.5903345737031256E-3</v>
      </c>
      <c r="AW124" s="4">
        <f t="shared" si="110"/>
        <v>-7.9520340867281005</v>
      </c>
      <c r="AX124" s="4">
        <f t="shared" si="111"/>
        <v>-4.1356159825253975</v>
      </c>
      <c r="AY124" s="4">
        <f t="shared" si="112"/>
        <v>8.1519359212036147</v>
      </c>
      <c r="AZ124" s="4">
        <f t="shared" si="113"/>
        <v>50.568852345800799</v>
      </c>
      <c r="BA124" s="4">
        <f t="shared" si="114"/>
        <v>-0.28006721276758173</v>
      </c>
      <c r="BB124" s="4">
        <f t="shared" si="115"/>
        <v>-10.3931069766415</v>
      </c>
      <c r="BC124" s="4">
        <f t="shared" si="116"/>
        <v>-4.9876265697598479</v>
      </c>
      <c r="BD124" s="4">
        <f t="shared" si="117"/>
        <v>25.854592125790582</v>
      </c>
      <c r="BE124" s="4">
        <f t="shared" si="118"/>
        <v>62.797236642678371</v>
      </c>
      <c r="BF124" s="4">
        <f t="shared" si="119"/>
        <v>-38.127886616733235</v>
      </c>
      <c r="BG124" s="4">
        <f t="shared" si="120"/>
        <v>-6.2357769212369014</v>
      </c>
      <c r="BH124" s="4">
        <f t="shared" si="121"/>
        <v>-90.652965941506167</v>
      </c>
      <c r="BI124" s="4">
        <f t="shared" si="122"/>
        <v>-10.049715386275391</v>
      </c>
      <c r="BJ124" s="4">
        <f t="shared" si="123"/>
        <v>-227.89012259293486</v>
      </c>
      <c r="BK124" s="4">
        <f t="shared" si="124"/>
        <v>0.31741214689355418</v>
      </c>
      <c r="BL124" s="4">
        <f t="shared" si="125"/>
        <v>14.338804795929809</v>
      </c>
      <c r="BM124" s="4">
        <f t="shared" si="126"/>
        <v>28.539182938098008</v>
      </c>
      <c r="BN124" s="4">
        <f t="shared" si="127"/>
        <v>-23.875492645524925</v>
      </c>
      <c r="BO124" s="4">
        <f t="shared" si="128"/>
        <v>-211.24753052144504</v>
      </c>
      <c r="BP124" s="4">
        <f t="shared" si="129"/>
        <v>-117.49656847581036</v>
      </c>
      <c r="BQ124" s="4">
        <f t="shared" si="130"/>
        <v>-22.243405789913169</v>
      </c>
      <c r="BR124" s="4">
        <f t="shared" si="131"/>
        <v>108.73924701907995</v>
      </c>
      <c r="BS124" s="4">
        <f t="shared" si="132"/>
        <v>812.28773992401761</v>
      </c>
      <c r="BT124" s="4">
        <f t="shared" si="133"/>
        <v>2922.6293070488514</v>
      </c>
      <c r="BU124" s="4">
        <f t="shared" si="134"/>
        <v>6.1545799848687119</v>
      </c>
      <c r="BV124" s="4">
        <f t="shared" si="135"/>
        <v>85.999746502605532</v>
      </c>
      <c r="BW124" s="4">
        <f t="shared" si="136"/>
        <v>-397.92110041795263</v>
      </c>
      <c r="BX124" s="4">
        <f t="shared" si="137"/>
        <v>-1987.1185684269344</v>
      </c>
      <c r="BY124" s="4">
        <f t="shared" si="138"/>
        <v>-5155.68165793551</v>
      </c>
      <c r="BZ124" s="6">
        <f t="shared" si="139"/>
        <v>-1.4583179143783127</v>
      </c>
      <c r="CA124" s="7"/>
      <c r="CB124" s="6">
        <v>-1.458319172113534</v>
      </c>
      <c r="CC124" s="6"/>
    </row>
    <row r="125" spans="1:81" x14ac:dyDescent="0.3">
      <c r="A125" s="4">
        <v>123</v>
      </c>
      <c r="B125" s="4">
        <v>46193852</v>
      </c>
      <c r="C125" s="4">
        <v>4.806</v>
      </c>
      <c r="D125" s="4">
        <v>3.548</v>
      </c>
      <c r="E125" s="4">
        <v>0.94099999999999995</v>
      </c>
      <c r="F125" s="4">
        <v>2.6150000000000002</v>
      </c>
      <c r="H125" s="6">
        <v>-2618.81325553337</v>
      </c>
      <c r="I125" s="4">
        <f t="shared" si="70"/>
        <v>223.0599268926</v>
      </c>
      <c r="J125" s="4">
        <f t="shared" si="71"/>
        <v>-1746.0710700280001</v>
      </c>
      <c r="K125" s="4">
        <f t="shared" si="72"/>
        <v>2229.0658305999996</v>
      </c>
      <c r="L125" s="4">
        <f t="shared" si="73"/>
        <v>8450.3885038000008</v>
      </c>
      <c r="M125" s="4">
        <f t="shared" si="74"/>
        <v>89.24605077502153</v>
      </c>
      <c r="N125" s="4">
        <f t="shared" si="75"/>
        <v>43.13588140949976</v>
      </c>
      <c r="O125" s="4">
        <f t="shared" si="76"/>
        <v>-311.28044660416793</v>
      </c>
      <c r="P125" s="4">
        <f t="shared" si="77"/>
        <v>-481.87638990351002</v>
      </c>
      <c r="Q125" s="4">
        <f t="shared" si="78"/>
        <v>-151.07170130108003</v>
      </c>
      <c r="R125" s="4">
        <f t="shared" si="79"/>
        <v>604.15396306744799</v>
      </c>
      <c r="S125" s="4">
        <f t="shared" si="80"/>
        <v>3925.5707791133404</v>
      </c>
      <c r="T125" s="4">
        <f t="shared" si="81"/>
        <v>-367.53724152920591</v>
      </c>
      <c r="U125" s="4">
        <f t="shared" si="82"/>
        <v>-5059.2677135466511</v>
      </c>
      <c r="V125" s="4">
        <f t="shared" si="83"/>
        <v>-10166.373379582501</v>
      </c>
      <c r="W125" s="4">
        <f t="shared" si="84"/>
        <v>-4.0170161686162276</v>
      </c>
      <c r="X125" s="4">
        <f t="shared" si="85"/>
        <v>10.873856743167984</v>
      </c>
      <c r="Y125" s="4">
        <f t="shared" si="86"/>
        <v>12.927629965019426</v>
      </c>
      <c r="Z125" s="4">
        <f t="shared" si="87"/>
        <v>-158.41021170080964</v>
      </c>
      <c r="AA125" s="4">
        <f t="shared" si="88"/>
        <v>14.056304082588049</v>
      </c>
      <c r="AB125" s="4">
        <f t="shared" si="89"/>
        <v>-172.90435769516947</v>
      </c>
      <c r="AC125" s="4">
        <f t="shared" si="90"/>
        <v>1.5475853326046205</v>
      </c>
      <c r="AD125" s="4">
        <f t="shared" si="91"/>
        <v>349.16573408492451</v>
      </c>
      <c r="AE125" s="4">
        <f t="shared" si="92"/>
        <v>235.43968001959914</v>
      </c>
      <c r="AF125" s="4">
        <f t="shared" si="93"/>
        <v>392.58802142390476</v>
      </c>
      <c r="AG125" s="4">
        <f t="shared" si="94"/>
        <v>-19.335495643439241</v>
      </c>
      <c r="AH125" s="4">
        <f t="shared" si="95"/>
        <v>187.17585418792876</v>
      </c>
      <c r="AI125" s="4">
        <f t="shared" si="96"/>
        <v>158.67517569998455</v>
      </c>
      <c r="AJ125" s="4">
        <f t="shared" si="97"/>
        <v>-46.188852528690923</v>
      </c>
      <c r="AK125" s="4">
        <f t="shared" si="98"/>
        <v>-1083.9934891386017</v>
      </c>
      <c r="AL125" s="4">
        <f t="shared" si="99"/>
        <v>-2829.2383831874081</v>
      </c>
      <c r="AM125" s="4">
        <f t="shared" si="100"/>
        <v>-250.82051208447166</v>
      </c>
      <c r="AN125" s="4">
        <f t="shared" si="101"/>
        <v>748.78304136735824</v>
      </c>
      <c r="AO125" s="4">
        <f t="shared" si="102"/>
        <v>3846.6065807592618</v>
      </c>
      <c r="AP125" s="4">
        <f t="shared" si="103"/>
        <v>5355.2489816139087</v>
      </c>
      <c r="AQ125" s="4">
        <f t="shared" si="104"/>
        <v>3.937163371851983E-2</v>
      </c>
      <c r="AR125" s="4">
        <f t="shared" si="105"/>
        <v>-0.53979341954037574</v>
      </c>
      <c r="AS125" s="4">
        <f t="shared" si="106"/>
        <v>3.4272700201752521E-2</v>
      </c>
      <c r="AT125" s="4">
        <f t="shared" si="107"/>
        <v>3.8533904453265415</v>
      </c>
      <c r="AU125" s="4">
        <f t="shared" si="108"/>
        <v>1.1832768846205113</v>
      </c>
      <c r="AV125" s="4">
        <f t="shared" si="109"/>
        <v>-2.311049419943717E-2</v>
      </c>
      <c r="AW125" s="4">
        <f t="shared" si="110"/>
        <v>-10.403065214137865</v>
      </c>
      <c r="AX125" s="4">
        <f t="shared" si="111"/>
        <v>-26.478657491468525</v>
      </c>
      <c r="AY125" s="4">
        <f t="shared" si="112"/>
        <v>22.425972693023443</v>
      </c>
      <c r="AZ125" s="4">
        <f t="shared" si="113"/>
        <v>59.77346115100265</v>
      </c>
      <c r="BA125" s="4">
        <f t="shared" si="114"/>
        <v>-0.18559336193052328</v>
      </c>
      <c r="BB125" s="4">
        <f t="shared" si="115"/>
        <v>-14.482815925477624</v>
      </c>
      <c r="BC125" s="4">
        <f t="shared" si="116"/>
        <v>-2.9863198297933442</v>
      </c>
      <c r="BD125" s="4">
        <f t="shared" si="117"/>
        <v>75.762229785834691</v>
      </c>
      <c r="BE125" s="4">
        <f t="shared" si="118"/>
        <v>79.066108732228301</v>
      </c>
      <c r="BF125" s="4">
        <f t="shared" si="119"/>
        <v>-20.626585459810212</v>
      </c>
      <c r="BG125" s="4">
        <f t="shared" si="120"/>
        <v>-38.424928792892985</v>
      </c>
      <c r="BH125" s="4">
        <f t="shared" si="121"/>
        <v>-240.01550255818333</v>
      </c>
      <c r="BI125" s="4">
        <f t="shared" si="122"/>
        <v>-11.432621176929182</v>
      </c>
      <c r="BJ125" s="4">
        <f t="shared" si="123"/>
        <v>-111.39157066683539</v>
      </c>
      <c r="BK125" s="4">
        <f t="shared" si="124"/>
        <v>9.6268235653698839E-2</v>
      </c>
      <c r="BL125" s="4">
        <f t="shared" si="125"/>
        <v>9.1449190630767649</v>
      </c>
      <c r="BM125" s="4">
        <f t="shared" si="126"/>
        <v>7.8206567293957159</v>
      </c>
      <c r="BN125" s="4">
        <f t="shared" si="127"/>
        <v>-32.020396034646573</v>
      </c>
      <c r="BO125" s="4">
        <f t="shared" si="128"/>
        <v>-121.73088324618152</v>
      </c>
      <c r="BP125" s="4">
        <f t="shared" si="129"/>
        <v>-29.091699329146664</v>
      </c>
      <c r="BQ125" s="4">
        <f t="shared" si="130"/>
        <v>-62.731126450397191</v>
      </c>
      <c r="BR125" s="4">
        <f t="shared" si="131"/>
        <v>131.76585898705397</v>
      </c>
      <c r="BS125" s="4">
        <f t="shared" si="132"/>
        <v>422.92294668985193</v>
      </c>
      <c r="BT125" s="4">
        <f t="shared" si="133"/>
        <v>653.8224985467898</v>
      </c>
      <c r="BU125" s="4">
        <f t="shared" si="134"/>
        <v>36.499563042442801</v>
      </c>
      <c r="BV125" s="4">
        <f t="shared" si="135"/>
        <v>219.13976477167003</v>
      </c>
      <c r="BW125" s="4">
        <f t="shared" si="136"/>
        <v>-435.6681021903542</v>
      </c>
      <c r="BX125" s="4">
        <f t="shared" si="137"/>
        <v>-934.79708921574525</v>
      </c>
      <c r="BY125" s="4">
        <f t="shared" si="138"/>
        <v>-1042.1120994964178</v>
      </c>
      <c r="BZ125" s="6">
        <f t="shared" si="139"/>
        <v>-1.2815354997333088</v>
      </c>
      <c r="CA125" s="7"/>
      <c r="CB125" s="6">
        <v>-1.281536324962417</v>
      </c>
      <c r="CC125" s="6"/>
    </row>
    <row r="126" spans="1:81" x14ac:dyDescent="0.3">
      <c r="A126" s="4">
        <v>124</v>
      </c>
      <c r="B126" s="4">
        <v>164621127</v>
      </c>
      <c r="C126" s="4">
        <v>2.903</v>
      </c>
      <c r="D126" s="4">
        <v>3.9820000000000002</v>
      </c>
      <c r="E126" s="4">
        <v>0.44500000000000001</v>
      </c>
      <c r="F126" s="4">
        <v>3.5350000000000001</v>
      </c>
      <c r="H126" s="6">
        <v>-2618.81325553337</v>
      </c>
      <c r="I126" s="4">
        <f t="shared" si="70"/>
        <v>134.73636449630001</v>
      </c>
      <c r="J126" s="4">
        <f t="shared" si="71"/>
        <v>-1959.6547353020001</v>
      </c>
      <c r="K126" s="4">
        <f t="shared" si="72"/>
        <v>1054.127837</v>
      </c>
      <c r="L126" s="4">
        <f t="shared" si="73"/>
        <v>11423.374134200001</v>
      </c>
      <c r="M126" s="4">
        <f t="shared" si="74"/>
        <v>32.562335449215382</v>
      </c>
      <c r="N126" s="4">
        <f t="shared" si="75"/>
        <v>29.242842854029419</v>
      </c>
      <c r="O126" s="4">
        <f t="shared" si="76"/>
        <v>-88.917142568179997</v>
      </c>
      <c r="P126" s="4">
        <f t="shared" si="77"/>
        <v>-393.47454545829498</v>
      </c>
      <c r="Q126" s="4">
        <f t="shared" si="78"/>
        <v>-190.29107043023004</v>
      </c>
      <c r="R126" s="4">
        <f t="shared" si="79"/>
        <v>320.65326082614001</v>
      </c>
      <c r="S126" s="4">
        <f t="shared" si="80"/>
        <v>5955.7736185077902</v>
      </c>
      <c r="T126" s="4">
        <f t="shared" si="81"/>
        <v>-82.194380516150005</v>
      </c>
      <c r="U126" s="4">
        <f t="shared" si="82"/>
        <v>-3234.2662837782505</v>
      </c>
      <c r="V126" s="4">
        <f t="shared" si="83"/>
        <v>-18578.108966182499</v>
      </c>
      <c r="W126" s="4">
        <f t="shared" si="84"/>
        <v>-0.88530595982994098</v>
      </c>
      <c r="X126" s="4">
        <f t="shared" si="85"/>
        <v>4.4527446486786619</v>
      </c>
      <c r="Y126" s="4">
        <f t="shared" si="86"/>
        <v>2.2305699073407523</v>
      </c>
      <c r="Z126" s="4">
        <f t="shared" si="87"/>
        <v>-78.131729535288443</v>
      </c>
      <c r="AA126" s="4">
        <f t="shared" si="88"/>
        <v>10.694726980286818</v>
      </c>
      <c r="AB126" s="4">
        <f t="shared" si="89"/>
        <v>-55.431577782064934</v>
      </c>
      <c r="AC126" s="4">
        <f t="shared" si="90"/>
        <v>1.4182514747236703</v>
      </c>
      <c r="AD126" s="4">
        <f t="shared" si="91"/>
        <v>47.166718395362871</v>
      </c>
      <c r="AE126" s="4">
        <f t="shared" si="92"/>
        <v>90.914057481769575</v>
      </c>
      <c r="AF126" s="4">
        <f t="shared" si="93"/>
        <v>433.34696928910819</v>
      </c>
      <c r="AG126" s="4">
        <f t="shared" si="94"/>
        <v>-27.334318013583388</v>
      </c>
      <c r="AH126" s="4">
        <f t="shared" si="95"/>
        <v>111.49502785260626</v>
      </c>
      <c r="AI126" s="4">
        <f t="shared" si="96"/>
        <v>270.1854774595302</v>
      </c>
      <c r="AJ126" s="4">
        <f t="shared" si="97"/>
        <v>-11.592993512368841</v>
      </c>
      <c r="AK126" s="4">
        <f t="shared" si="98"/>
        <v>-777.73640931181581</v>
      </c>
      <c r="AL126" s="4">
        <f t="shared" si="99"/>
        <v>-5802.6000277114263</v>
      </c>
      <c r="AM126" s="4">
        <f t="shared" si="100"/>
        <v>-26.526149493146502</v>
      </c>
      <c r="AN126" s="4">
        <f t="shared" si="101"/>
        <v>226.36772169671713</v>
      </c>
      <c r="AO126" s="4">
        <f t="shared" si="102"/>
        <v>3324.1729232577222</v>
      </c>
      <c r="AP126" s="4">
        <f t="shared" si="103"/>
        <v>13229.177454990206</v>
      </c>
      <c r="AQ126" s="4">
        <f t="shared" si="104"/>
        <v>5.2412697702320472E-3</v>
      </c>
      <c r="AR126" s="4">
        <f t="shared" si="105"/>
        <v>-0.13351653052573803</v>
      </c>
      <c r="AS126" s="4">
        <f t="shared" si="106"/>
        <v>3.5719758802632146E-3</v>
      </c>
      <c r="AT126" s="4">
        <f t="shared" si="107"/>
        <v>1.1480228948344635</v>
      </c>
      <c r="AU126" s="4">
        <f t="shared" si="108"/>
        <v>0.54381127590415979</v>
      </c>
      <c r="AV126" s="4">
        <f t="shared" si="109"/>
        <v>-4.4753170033137585E-3</v>
      </c>
      <c r="AW126" s="4">
        <f t="shared" si="110"/>
        <v>-5.7586837520996896</v>
      </c>
      <c r="AX126" s="4">
        <f t="shared" si="111"/>
        <v>-2.1605447985382544</v>
      </c>
      <c r="AY126" s="4">
        <f t="shared" si="112"/>
        <v>5.2307738053101627</v>
      </c>
      <c r="AZ126" s="4">
        <f t="shared" si="113"/>
        <v>39.853860172445124</v>
      </c>
      <c r="BA126" s="4">
        <f t="shared" si="114"/>
        <v>-0.15848152508793664</v>
      </c>
      <c r="BB126" s="4">
        <f t="shared" si="115"/>
        <v>-5.2110106034245769</v>
      </c>
      <c r="BC126" s="4">
        <f t="shared" si="116"/>
        <v>-3.0715147232252615</v>
      </c>
      <c r="BD126" s="4">
        <f t="shared" si="117"/>
        <v>11.486148771292532</v>
      </c>
      <c r="BE126" s="4">
        <f t="shared" si="118"/>
        <v>34.265682915854832</v>
      </c>
      <c r="BF126" s="4">
        <f t="shared" si="119"/>
        <v>-25.55310645515836</v>
      </c>
      <c r="BG126" s="4">
        <f t="shared" si="120"/>
        <v>-2.4546382836323928</v>
      </c>
      <c r="BH126" s="4">
        <f t="shared" si="121"/>
        <v>-43.828949650268228</v>
      </c>
      <c r="BI126" s="4">
        <f t="shared" si="122"/>
        <v>-5.9678090682489682</v>
      </c>
      <c r="BJ126" s="4">
        <f t="shared" si="123"/>
        <v>-166.21444808956741</v>
      </c>
      <c r="BK126" s="4">
        <f t="shared" si="124"/>
        <v>0.15274028285609847</v>
      </c>
      <c r="BL126" s="4">
        <f t="shared" si="125"/>
        <v>6.1136868128582975</v>
      </c>
      <c r="BM126" s="4">
        <f t="shared" si="126"/>
        <v>14.94561815968312</v>
      </c>
      <c r="BN126" s="4">
        <f t="shared" si="127"/>
        <v>-9.0199216104169402</v>
      </c>
      <c r="BO126" s="4">
        <f t="shared" si="128"/>
        <v>-98.022138868383678</v>
      </c>
      <c r="BP126" s="4">
        <f t="shared" si="129"/>
        <v>-66.963759704468188</v>
      </c>
      <c r="BQ126" s="4">
        <f t="shared" si="130"/>
        <v>-7.4458090315979737</v>
      </c>
      <c r="BR126" s="4">
        <f t="shared" si="131"/>
        <v>44.707361737960269</v>
      </c>
      <c r="BS126" s="4">
        <f t="shared" si="132"/>
        <v>410.18968160136518</v>
      </c>
      <c r="BT126" s="4">
        <f t="shared" si="133"/>
        <v>1812.719807281735</v>
      </c>
      <c r="BU126" s="4">
        <f t="shared" si="134"/>
        <v>1.8254469467879058</v>
      </c>
      <c r="BV126" s="4">
        <f t="shared" si="135"/>
        <v>31.329255801377538</v>
      </c>
      <c r="BW126" s="4">
        <f t="shared" si="136"/>
        <v>-178.04590472911764</v>
      </c>
      <c r="BX126" s="4">
        <f t="shared" si="137"/>
        <v>-1092.0459530110188</v>
      </c>
      <c r="BY126" s="4">
        <f t="shared" si="138"/>
        <v>-3480.0488323136051</v>
      </c>
      <c r="BZ126" s="6">
        <f t="shared" si="139"/>
        <v>-1.454640680445209</v>
      </c>
      <c r="CA126" s="7"/>
      <c r="CB126" s="6">
        <v>-1.4546386850020101</v>
      </c>
      <c r="CC126" s="6"/>
    </row>
    <row r="127" spans="1:81" x14ac:dyDescent="0.3">
      <c r="A127" s="4">
        <v>125</v>
      </c>
      <c r="B127" s="4">
        <v>164611485</v>
      </c>
      <c r="C127" s="4">
        <v>2.6869999999999998</v>
      </c>
      <c r="D127" s="4">
        <v>4.0430000000000001</v>
      </c>
      <c r="E127" s="4">
        <v>0.41399999999999998</v>
      </c>
      <c r="F127" s="4">
        <v>3.5209999999999999</v>
      </c>
      <c r="H127" s="6">
        <v>-2618.81325553337</v>
      </c>
      <c r="I127" s="4">
        <f t="shared" si="70"/>
        <v>124.71119924269999</v>
      </c>
      <c r="J127" s="4">
        <f t="shared" si="71"/>
        <v>-1989.6745592230002</v>
      </c>
      <c r="K127" s="4">
        <f t="shared" si="72"/>
        <v>980.69421239999986</v>
      </c>
      <c r="L127" s="4">
        <f t="shared" si="73"/>
        <v>11378.13304852</v>
      </c>
      <c r="M127" s="4">
        <f t="shared" si="74"/>
        <v>27.896955340714577</v>
      </c>
      <c r="N127" s="4">
        <f t="shared" si="75"/>
        <v>27.481643826889066</v>
      </c>
      <c r="O127" s="4">
        <f t="shared" si="76"/>
        <v>-76.567851081143985</v>
      </c>
      <c r="P127" s="4">
        <f t="shared" si="77"/>
        <v>-362.75539481803293</v>
      </c>
      <c r="Q127" s="4">
        <f t="shared" si="78"/>
        <v>-196.16583915041753</v>
      </c>
      <c r="R127" s="4">
        <f t="shared" si="79"/>
        <v>302.88549555997196</v>
      </c>
      <c r="S127" s="4">
        <f t="shared" si="80"/>
        <v>6023.0611753049016</v>
      </c>
      <c r="T127" s="4">
        <f t="shared" si="81"/>
        <v>-71.141462153495993</v>
      </c>
      <c r="U127" s="4">
        <f t="shared" si="82"/>
        <v>-2997.0411812951402</v>
      </c>
      <c r="V127" s="4">
        <f t="shared" si="83"/>
        <v>-18431.247020585699</v>
      </c>
      <c r="W127" s="4">
        <f t="shared" si="84"/>
        <v>-0.70202936691004336</v>
      </c>
      <c r="X127" s="4">
        <f t="shared" si="85"/>
        <v>3.8732143946882278</v>
      </c>
      <c r="Y127" s="4">
        <f t="shared" si="86"/>
        <v>1.7778594731451722</v>
      </c>
      <c r="Z127" s="4">
        <f t="shared" si="87"/>
        <v>-66.672279871281447</v>
      </c>
      <c r="AA127" s="4">
        <f t="shared" si="88"/>
        <v>10.204583979009378</v>
      </c>
      <c r="AB127" s="4">
        <f t="shared" si="89"/>
        <v>-48.464159660792575</v>
      </c>
      <c r="AC127" s="4">
        <f t="shared" si="90"/>
        <v>1.3275563580066945</v>
      </c>
      <c r="AD127" s="4">
        <f t="shared" si="91"/>
        <v>37.786524828284136</v>
      </c>
      <c r="AE127" s="4">
        <f t="shared" si="92"/>
        <v>77.977374497432535</v>
      </c>
      <c r="AF127" s="4">
        <f t="shared" si="93"/>
        <v>397.93268114097299</v>
      </c>
      <c r="AG127" s="4">
        <f t="shared" si="94"/>
        <v>-28.609857832180051</v>
      </c>
      <c r="AH127" s="4">
        <f t="shared" si="95"/>
        <v>106.93030406438443</v>
      </c>
      <c r="AI127" s="4">
        <f t="shared" si="96"/>
        <v>277.42371307796122</v>
      </c>
      <c r="AJ127" s="4">
        <f t="shared" si="97"/>
        <v>-10.187760781329205</v>
      </c>
      <c r="AK127" s="4">
        <f t="shared" si="98"/>
        <v>-731.73167222420204</v>
      </c>
      <c r="AL127" s="4">
        <f t="shared" si="99"/>
        <v>-5844.9168232368102</v>
      </c>
      <c r="AM127" s="4">
        <f t="shared" si="100"/>
        <v>-21.359702685029468</v>
      </c>
      <c r="AN127" s="4">
        <f t="shared" si="101"/>
        <v>195.15144307510982</v>
      </c>
      <c r="AO127" s="4">
        <f t="shared" si="102"/>
        <v>3068.1539809044702</v>
      </c>
      <c r="AP127" s="4">
        <f t="shared" si="103"/>
        <v>13072.620775722335</v>
      </c>
      <c r="AQ127" s="4">
        <f t="shared" si="104"/>
        <v>3.846972094479614E-3</v>
      </c>
      <c r="AR127" s="4">
        <f t="shared" si="105"/>
        <v>-0.10749776032092946</v>
      </c>
      <c r="AS127" s="4">
        <f t="shared" si="106"/>
        <v>2.6351827540848083E-3</v>
      </c>
      <c r="AT127" s="4">
        <f t="shared" si="107"/>
        <v>0.9067530977808308</v>
      </c>
      <c r="AU127" s="4">
        <f t="shared" si="108"/>
        <v>0.48027993248424167</v>
      </c>
      <c r="AV127" s="4">
        <f t="shared" si="109"/>
        <v>-3.6216617005116196E-3</v>
      </c>
      <c r="AW127" s="4">
        <f t="shared" si="110"/>
        <v>-4.9893455474996768</v>
      </c>
      <c r="AX127" s="4">
        <f t="shared" si="111"/>
        <v>-1.6020836831245864</v>
      </c>
      <c r="AY127" s="4">
        <f t="shared" si="112"/>
        <v>4.1526386186545361</v>
      </c>
      <c r="AZ127" s="4">
        <f t="shared" si="113"/>
        <v>33.873874004905957</v>
      </c>
      <c r="BA127" s="4">
        <f t="shared" si="114"/>
        <v>-0.15353476526656559</v>
      </c>
      <c r="BB127" s="4">
        <f t="shared" si="115"/>
        <v>-4.6258110466300524</v>
      </c>
      <c r="BC127" s="4">
        <f t="shared" si="116"/>
        <v>-2.9191392357781583</v>
      </c>
      <c r="BD127" s="4">
        <f t="shared" si="117"/>
        <v>9.3428249873982843</v>
      </c>
      <c r="BE127" s="4">
        <f t="shared" si="118"/>
        <v>29.840043029757357</v>
      </c>
      <c r="BF127" s="4">
        <f t="shared" si="119"/>
        <v>-23.824293702791049</v>
      </c>
      <c r="BG127" s="4">
        <f t="shared" si="120"/>
        <v>-1.8294861431257126</v>
      </c>
      <c r="BH127" s="4">
        <f t="shared" si="121"/>
        <v>-34.97348904799567</v>
      </c>
      <c r="BI127" s="4">
        <f t="shared" si="122"/>
        <v>-5.0983435237290085</v>
      </c>
      <c r="BJ127" s="4">
        <f t="shared" si="123"/>
        <v>-152.02647414000862</v>
      </c>
      <c r="BK127" s="4">
        <f t="shared" si="124"/>
        <v>0.1623168227610958</v>
      </c>
      <c r="BL127" s="4">
        <f t="shared" si="125"/>
        <v>5.9532068709669499</v>
      </c>
      <c r="BM127" s="4">
        <f t="shared" si="126"/>
        <v>15.581093951016008</v>
      </c>
      <c r="BN127" s="4">
        <f t="shared" si="127"/>
        <v>-8.0480079143238274</v>
      </c>
      <c r="BO127" s="4">
        <f t="shared" si="128"/>
        <v>-93.636696427062702</v>
      </c>
      <c r="BP127" s="4">
        <f t="shared" si="129"/>
        <v>-68.485402803502012</v>
      </c>
      <c r="BQ127" s="4">
        <f t="shared" si="130"/>
        <v>-6.0874494714879352</v>
      </c>
      <c r="BR127" s="4">
        <f t="shared" si="131"/>
        <v>39.132608223526951</v>
      </c>
      <c r="BS127" s="4">
        <f t="shared" si="132"/>
        <v>384.39768284178507</v>
      </c>
      <c r="BT127" s="4">
        <f t="shared" si="133"/>
        <v>1818.7080399733736</v>
      </c>
      <c r="BU127" s="4">
        <f t="shared" si="134"/>
        <v>1.3675100795003081</v>
      </c>
      <c r="BV127" s="4">
        <f t="shared" si="135"/>
        <v>25.1274071043064</v>
      </c>
      <c r="BW127" s="4">
        <f t="shared" si="136"/>
        <v>-152.88534689037277</v>
      </c>
      <c r="BX127" s="4">
        <f t="shared" si="137"/>
        <v>-1003.9476435803398</v>
      </c>
      <c r="BY127" s="4">
        <f t="shared" si="138"/>
        <v>-3425.2459839254743</v>
      </c>
      <c r="BZ127" s="6">
        <f t="shared" si="139"/>
        <v>-1.483997365331561</v>
      </c>
      <c r="CA127" s="7"/>
      <c r="CB127" s="6">
        <v>-1.483995218347445</v>
      </c>
      <c r="CC127" s="6"/>
    </row>
    <row r="128" spans="1:81" x14ac:dyDescent="0.3">
      <c r="A128" s="4">
        <v>126</v>
      </c>
      <c r="B128" s="4">
        <v>72545540</v>
      </c>
      <c r="C128" s="4">
        <v>2.3119999999999998</v>
      </c>
      <c r="D128" s="4">
        <v>3.3919999999999999</v>
      </c>
      <c r="E128" s="4">
        <v>0.41599999999999998</v>
      </c>
      <c r="F128" s="4">
        <v>3.1640000000000001</v>
      </c>
      <c r="H128" s="6">
        <v>-2618.81325553337</v>
      </c>
      <c r="I128" s="4">
        <f t="shared" si="70"/>
        <v>107.3063984552</v>
      </c>
      <c r="J128" s="4">
        <f t="shared" si="71"/>
        <v>-1669.299061312</v>
      </c>
      <c r="K128" s="4">
        <f t="shared" si="72"/>
        <v>985.43186559999992</v>
      </c>
      <c r="L128" s="4">
        <f t="shared" si="73"/>
        <v>10224.48536368</v>
      </c>
      <c r="M128" s="4">
        <f t="shared" si="74"/>
        <v>20.653665251022076</v>
      </c>
      <c r="N128" s="4">
        <f t="shared" si="75"/>
        <v>19.838780496174078</v>
      </c>
      <c r="O128" s="4">
        <f t="shared" si="76"/>
        <v>-66.20024723353599</v>
      </c>
      <c r="P128" s="4">
        <f t="shared" si="77"/>
        <v>-280.48167542147195</v>
      </c>
      <c r="Q128" s="4">
        <f t="shared" si="78"/>
        <v>-138.07898467327999</v>
      </c>
      <c r="R128" s="4">
        <f t="shared" si="79"/>
        <v>255.34277172019193</v>
      </c>
      <c r="S128" s="4">
        <f t="shared" si="80"/>
        <v>4540.877920701696</v>
      </c>
      <c r="T128" s="4">
        <f t="shared" si="81"/>
        <v>-71.830479558655995</v>
      </c>
      <c r="U128" s="4">
        <f t="shared" si="82"/>
        <v>-2706.1766953894403</v>
      </c>
      <c r="V128" s="4">
        <f t="shared" si="83"/>
        <v>-14883.176058139201</v>
      </c>
      <c r="W128" s="4">
        <f t="shared" si="84"/>
        <v>-0.44721439025345272</v>
      </c>
      <c r="X128" s="4">
        <f t="shared" si="85"/>
        <v>2.4058246265677288</v>
      </c>
      <c r="Y128" s="4">
        <f t="shared" si="86"/>
        <v>1.3226067849857739</v>
      </c>
      <c r="Z128" s="4">
        <f t="shared" si="87"/>
        <v>-44.35637868652055</v>
      </c>
      <c r="AA128" s="4">
        <f t="shared" si="88"/>
        <v>6.1804439456891194</v>
      </c>
      <c r="AB128" s="4">
        <f t="shared" si="89"/>
        <v>-35.154906063593465</v>
      </c>
      <c r="AC128" s="4">
        <f t="shared" si="90"/>
        <v>0.8611834643844497</v>
      </c>
      <c r="AD128" s="4">
        <f t="shared" si="91"/>
        <v>32.827899458700898</v>
      </c>
      <c r="AE128" s="4">
        <f t="shared" si="92"/>
        <v>60.583200272181351</v>
      </c>
      <c r="AF128" s="4">
        <f t="shared" si="93"/>
        <v>276.48442458420431</v>
      </c>
      <c r="AG128" s="4">
        <f t="shared" si="94"/>
        <v>-16.895537261621278</v>
      </c>
      <c r="AH128" s="4">
        <f t="shared" si="95"/>
        <v>75.630678363157287</v>
      </c>
      <c r="AI128" s="4">
        <f t="shared" si="96"/>
        <v>175.47620538109706</v>
      </c>
      <c r="AJ128" s="4">
        <f t="shared" si="97"/>
        <v>-8.6301197114802157</v>
      </c>
      <c r="AK128" s="4">
        <f t="shared" si="98"/>
        <v>-554.32873885686161</v>
      </c>
      <c r="AL128" s="4">
        <f t="shared" si="99"/>
        <v>-3959.7825460536487</v>
      </c>
      <c r="AM128" s="4">
        <f t="shared" si="100"/>
        <v>-21.670761464987645</v>
      </c>
      <c r="AN128" s="4">
        <f t="shared" si="101"/>
        <v>177.06315394788965</v>
      </c>
      <c r="AO128" s="4">
        <f t="shared" si="102"/>
        <v>2489.4937523323683</v>
      </c>
      <c r="AP128" s="4">
        <f t="shared" si="103"/>
        <v>9485.8010588010475</v>
      </c>
      <c r="AQ128" s="4">
        <f t="shared" si="104"/>
        <v>2.1086266411712304E-3</v>
      </c>
      <c r="AR128" s="4">
        <f t="shared" si="105"/>
        <v>-5.7452907022482971E-2</v>
      </c>
      <c r="AS128" s="4">
        <f t="shared" si="106"/>
        <v>1.6868024341439205E-3</v>
      </c>
      <c r="AT128" s="4">
        <f t="shared" si="107"/>
        <v>0.51906289862375854</v>
      </c>
      <c r="AU128" s="4">
        <f t="shared" si="108"/>
        <v>0.25028739146623091</v>
      </c>
      <c r="AV128" s="4">
        <f t="shared" si="109"/>
        <v>-2.2604416394189863E-3</v>
      </c>
      <c r="AW128" s="4">
        <f t="shared" si="110"/>
        <v>-2.78487984191317</v>
      </c>
      <c r="AX128" s="4">
        <f t="shared" si="111"/>
        <v>-1.1975992156214732</v>
      </c>
      <c r="AY128" s="4">
        <f t="shared" si="112"/>
        <v>2.7760539654131953</v>
      </c>
      <c r="AZ128" s="4">
        <f t="shared" si="113"/>
        <v>20.250982294742055</v>
      </c>
      <c r="BA128" s="4">
        <f t="shared" si="114"/>
        <v>-7.80159137405632E-2</v>
      </c>
      <c r="BB128" s="4">
        <f t="shared" si="115"/>
        <v>-2.8151740218861905</v>
      </c>
      <c r="BC128" s="4">
        <f t="shared" si="116"/>
        <v>-1.5887282858845542</v>
      </c>
      <c r="BD128" s="4">
        <f t="shared" si="117"/>
        <v>6.8098329448794921</v>
      </c>
      <c r="BE128" s="4">
        <f t="shared" si="118"/>
        <v>19.450696164958252</v>
      </c>
      <c r="BF128" s="4">
        <f t="shared" si="119"/>
        <v>-13.887791874356051</v>
      </c>
      <c r="BG128" s="4">
        <f t="shared" si="120"/>
        <v>-1.5970858291878975</v>
      </c>
      <c r="BH128" s="4">
        <f t="shared" si="121"/>
        <v>-27.303325896590596</v>
      </c>
      <c r="BI128" s="4">
        <f t="shared" si="122"/>
        <v>-3.5594520510768128</v>
      </c>
      <c r="BJ128" s="4">
        <f t="shared" si="123"/>
        <v>-94.918471464340982</v>
      </c>
      <c r="BK128" s="4">
        <f t="shared" si="124"/>
        <v>8.0421457948976469E-2</v>
      </c>
      <c r="BL128" s="4">
        <f t="shared" si="125"/>
        <v>3.5326472268878568</v>
      </c>
      <c r="BM128" s="4">
        <f t="shared" si="126"/>
        <v>8.2684613903256956</v>
      </c>
      <c r="BN128" s="4">
        <f t="shared" si="127"/>
        <v>-5.7197701679777468</v>
      </c>
      <c r="BO128" s="4">
        <f t="shared" si="128"/>
        <v>-59.513258115776388</v>
      </c>
      <c r="BP128" s="4">
        <f t="shared" si="129"/>
        <v>-38.926299380518138</v>
      </c>
      <c r="BQ128" s="4">
        <f t="shared" si="130"/>
        <v>-5.1816304974067924</v>
      </c>
      <c r="BR128" s="4">
        <f t="shared" si="131"/>
        <v>29.788410224389025</v>
      </c>
      <c r="BS128" s="4">
        <f t="shared" si="132"/>
        <v>261.67772314079934</v>
      </c>
      <c r="BT128" s="4">
        <f t="shared" si="133"/>
        <v>1107.2009205859674</v>
      </c>
      <c r="BU128" s="4">
        <f t="shared" si="134"/>
        <v>1.3941275002927054</v>
      </c>
      <c r="BV128" s="4">
        <f t="shared" si="135"/>
        <v>22.908523257808813</v>
      </c>
      <c r="BW128" s="4">
        <f t="shared" si="136"/>
        <v>-124.65013164475006</v>
      </c>
      <c r="BX128" s="4">
        <f t="shared" si="137"/>
        <v>-732.00728543878438</v>
      </c>
      <c r="BY128" s="4">
        <f t="shared" si="138"/>
        <v>-2233.4362710676141</v>
      </c>
      <c r="BZ128" s="6">
        <f t="shared" si="139"/>
        <v>-1.5684000658761761</v>
      </c>
      <c r="CA128" s="7"/>
      <c r="CB128" s="6">
        <v>-1.5683969052142861</v>
      </c>
      <c r="CC128" s="6"/>
    </row>
    <row r="129" spans="1:81" x14ac:dyDescent="0.3">
      <c r="A129" s="4">
        <v>127</v>
      </c>
      <c r="B129" s="4">
        <v>118706530</v>
      </c>
      <c r="C129" s="4">
        <v>3.137</v>
      </c>
      <c r="D129" s="4">
        <v>5.0949999999999998</v>
      </c>
      <c r="E129" s="4">
        <v>0.39900000000000002</v>
      </c>
      <c r="F129" s="4">
        <v>3.7970000000000002</v>
      </c>
      <c r="H129" s="6">
        <v>-2618.81325553337</v>
      </c>
      <c r="I129" s="4">
        <f t="shared" si="70"/>
        <v>145.59696018770001</v>
      </c>
      <c r="J129" s="4">
        <f t="shared" si="71"/>
        <v>-2507.3934897949998</v>
      </c>
      <c r="K129" s="4">
        <f t="shared" si="72"/>
        <v>945.16181340000003</v>
      </c>
      <c r="L129" s="4">
        <f t="shared" si="73"/>
        <v>12270.028737640001</v>
      </c>
      <c r="M129" s="4">
        <f t="shared" si="74"/>
        <v>38.023361777770582</v>
      </c>
      <c r="N129" s="4">
        <f t="shared" si="75"/>
        <v>40.432445140109046</v>
      </c>
      <c r="O129" s="4">
        <f t="shared" si="76"/>
        <v>-86.152099469603996</v>
      </c>
      <c r="P129" s="4">
        <f t="shared" si="77"/>
        <v>-456.70451409753099</v>
      </c>
      <c r="Q129" s="4">
        <f t="shared" si="78"/>
        <v>-311.53315576643746</v>
      </c>
      <c r="R129" s="4">
        <f t="shared" si="79"/>
        <v>367.86754846232998</v>
      </c>
      <c r="S129" s="4">
        <f t="shared" si="80"/>
        <v>8185.2564992374055</v>
      </c>
      <c r="T129" s="4">
        <f t="shared" si="81"/>
        <v>-66.079674649926005</v>
      </c>
      <c r="U129" s="4">
        <f t="shared" si="82"/>
        <v>-3114.8693626959307</v>
      </c>
      <c r="V129" s="4">
        <f t="shared" si="83"/>
        <v>-21434.031460719303</v>
      </c>
      <c r="W129" s="4">
        <f t="shared" si="84"/>
        <v>-1.1171097350157022</v>
      </c>
      <c r="X129" s="4">
        <f t="shared" si="85"/>
        <v>6.6528187058226358</v>
      </c>
      <c r="Y129" s="4">
        <f t="shared" si="86"/>
        <v>2.3354129779643951</v>
      </c>
      <c r="Z129" s="4">
        <f t="shared" si="87"/>
        <v>-97.997180968748125</v>
      </c>
      <c r="AA129" s="4">
        <f t="shared" si="88"/>
        <v>18.920083570322035</v>
      </c>
      <c r="AB129" s="4">
        <f t="shared" si="89"/>
        <v>-68.719586972029717</v>
      </c>
      <c r="AC129" s="4">
        <f t="shared" si="90"/>
        <v>2.1062738618932046</v>
      </c>
      <c r="AD129" s="4">
        <f t="shared" si="91"/>
        <v>40.97593891680193</v>
      </c>
      <c r="AE129" s="4">
        <f t="shared" si="92"/>
        <v>94.615565035440028</v>
      </c>
      <c r="AF129" s="4">
        <f t="shared" si="93"/>
        <v>540.26347100887199</v>
      </c>
      <c r="AG129" s="4">
        <f t="shared" si="94"/>
        <v>-57.258114245245764</v>
      </c>
      <c r="AH129" s="4">
        <f t="shared" si="95"/>
        <v>163.66441042564313</v>
      </c>
      <c r="AI129" s="4">
        <f t="shared" si="96"/>
        <v>475.11533290324246</v>
      </c>
      <c r="AJ129" s="4">
        <f t="shared" si="97"/>
        <v>-11.925162202298436</v>
      </c>
      <c r="AK129" s="4">
        <f t="shared" si="98"/>
        <v>-958.38371841288335</v>
      </c>
      <c r="AL129" s="4">
        <f t="shared" si="99"/>
        <v>-8565.799929583447</v>
      </c>
      <c r="AM129" s="4">
        <f t="shared" si="100"/>
        <v>-19.121099743766411</v>
      </c>
      <c r="AN129" s="4">
        <f t="shared" si="101"/>
        <v>195.47510193857829</v>
      </c>
      <c r="AO129" s="4">
        <f t="shared" si="102"/>
        <v>3438.7361196856318</v>
      </c>
      <c r="AP129" s="4">
        <f t="shared" si="103"/>
        <v>16394.054673299823</v>
      </c>
      <c r="AQ129" s="4">
        <f t="shared" si="104"/>
        <v>7.1467146972209747E-3</v>
      </c>
      <c r="AR129" s="4">
        <f t="shared" si="105"/>
        <v>-0.21556607775743414</v>
      </c>
      <c r="AS129" s="4">
        <f t="shared" si="106"/>
        <v>4.041325684065955E-3</v>
      </c>
      <c r="AT129" s="4">
        <f t="shared" si="107"/>
        <v>1.5559805961430802</v>
      </c>
      <c r="AU129" s="4">
        <f t="shared" si="108"/>
        <v>1.0396066274730247</v>
      </c>
      <c r="AV129" s="4">
        <f t="shared" si="109"/>
        <v>-5.9953506191716358E-3</v>
      </c>
      <c r="AW129" s="4">
        <f t="shared" si="110"/>
        <v>-9.2417093635548113</v>
      </c>
      <c r="AX129" s="4">
        <f t="shared" si="111"/>
        <v>-2.0282617982131779</v>
      </c>
      <c r="AY129" s="4">
        <f t="shared" si="112"/>
        <v>5.8825410929134456</v>
      </c>
      <c r="AZ129" s="4">
        <f t="shared" si="113"/>
        <v>53.691769426554174</v>
      </c>
      <c r="BA129" s="4">
        <f t="shared" si="114"/>
        <v>-0.35873596803883784</v>
      </c>
      <c r="BB129" s="4">
        <f t="shared" si="115"/>
        <v>-8.2658627492203216</v>
      </c>
      <c r="BC129" s="4">
        <f t="shared" si="116"/>
        <v>-5.8365623407427369</v>
      </c>
      <c r="BD129" s="4">
        <f t="shared" si="117"/>
        <v>12.767639803189967</v>
      </c>
      <c r="BE129" s="4">
        <f t="shared" si="118"/>
        <v>45.628256152542441</v>
      </c>
      <c r="BF129" s="4">
        <f t="shared" si="119"/>
        <v>-40.76209321334396</v>
      </c>
      <c r="BG129" s="4">
        <f t="shared" si="120"/>
        <v>-1.9120253254799362</v>
      </c>
      <c r="BH129" s="4">
        <f t="shared" si="121"/>
        <v>-40.898322416020441</v>
      </c>
      <c r="BI129" s="4">
        <f t="shared" si="122"/>
        <v>-6.6711029928204306</v>
      </c>
      <c r="BJ129" s="4">
        <f t="shared" si="123"/>
        <v>-222.58187255427438</v>
      </c>
      <c r="BK129" s="4">
        <f t="shared" si="124"/>
        <v>0.40937877407802425</v>
      </c>
      <c r="BL129" s="4">
        <f t="shared" si="125"/>
        <v>11.482722512001404</v>
      </c>
      <c r="BM129" s="4">
        <f t="shared" si="126"/>
        <v>33.627444097233791</v>
      </c>
      <c r="BN129" s="4">
        <f t="shared" si="127"/>
        <v>-11.871740581627137</v>
      </c>
      <c r="BO129" s="4">
        <f t="shared" si="128"/>
        <v>-154.55181289599651</v>
      </c>
      <c r="BP129" s="4">
        <f t="shared" si="129"/>
        <v>-126.48180438729179</v>
      </c>
      <c r="BQ129" s="4">
        <f t="shared" si="130"/>
        <v>-6.8674179628807215</v>
      </c>
      <c r="BR129" s="4">
        <f t="shared" si="131"/>
        <v>49.396812240376136</v>
      </c>
      <c r="BS129" s="4">
        <f t="shared" si="132"/>
        <v>542.92883386633071</v>
      </c>
      <c r="BT129" s="4">
        <f t="shared" si="133"/>
        <v>2874.2672727454778</v>
      </c>
      <c r="BU129" s="4">
        <f t="shared" si="134"/>
        <v>1.1798335843202521</v>
      </c>
      <c r="BV129" s="4">
        <f t="shared" si="135"/>
        <v>24.257157711862849</v>
      </c>
      <c r="BW129" s="4">
        <f t="shared" si="136"/>
        <v>-165.14297965459997</v>
      </c>
      <c r="BX129" s="4">
        <f t="shared" si="137"/>
        <v>-1213.4093454610015</v>
      </c>
      <c r="BY129" s="4">
        <f t="shared" si="138"/>
        <v>-4632.229351263969</v>
      </c>
      <c r="BZ129" s="6">
        <f t="shared" si="139"/>
        <v>-1.8224715017613562</v>
      </c>
      <c r="CA129" s="7"/>
      <c r="CB129" s="6">
        <v>-1.8224717662142209</v>
      </c>
      <c r="CC129" s="6"/>
    </row>
    <row r="130" spans="1:81" x14ac:dyDescent="0.3">
      <c r="A130" s="4">
        <v>128</v>
      </c>
      <c r="B130" s="4">
        <v>46193739</v>
      </c>
      <c r="C130" s="4">
        <v>4.2409999999999997</v>
      </c>
      <c r="D130" s="4">
        <v>4.0540000000000003</v>
      </c>
      <c r="E130" s="4">
        <v>0.98299999999999998</v>
      </c>
      <c r="F130" s="4">
        <v>3.0550000000000002</v>
      </c>
      <c r="H130" s="6">
        <v>-2618.81325553337</v>
      </c>
      <c r="I130" s="4">
        <f t="shared" si="70"/>
        <v>196.83669370609999</v>
      </c>
      <c r="J130" s="4">
        <f t="shared" si="71"/>
        <v>-1995.0879700940002</v>
      </c>
      <c r="K130" s="4">
        <f t="shared" si="72"/>
        <v>2328.5565477999999</v>
      </c>
      <c r="L130" s="4">
        <f t="shared" si="73"/>
        <v>9872.2511966000002</v>
      </c>
      <c r="M130" s="4">
        <f t="shared" si="74"/>
        <v>69.495713681246414</v>
      </c>
      <c r="N130" s="4">
        <f t="shared" si="75"/>
        <v>43.493395667095776</v>
      </c>
      <c r="O130" s="4">
        <f t="shared" si="76"/>
        <v>-286.94604373152396</v>
      </c>
      <c r="P130" s="4">
        <f t="shared" si="77"/>
        <v>-496.77493525614494</v>
      </c>
      <c r="Q130" s="4">
        <f t="shared" si="78"/>
        <v>-197.23472843207003</v>
      </c>
      <c r="R130" s="4">
        <f t="shared" si="79"/>
        <v>721.12683365005194</v>
      </c>
      <c r="S130" s="4">
        <f t="shared" si="80"/>
        <v>5240.134892163991</v>
      </c>
      <c r="T130" s="4">
        <f t="shared" si="81"/>
        <v>-401.07827675581399</v>
      </c>
      <c r="U130" s="4">
        <f t="shared" si="82"/>
        <v>-6174.3476169251508</v>
      </c>
      <c r="V130" s="4">
        <f t="shared" si="83"/>
        <v>-13875.386801542501</v>
      </c>
      <c r="W130" s="4">
        <f t="shared" si="84"/>
        <v>-2.7603051630821889</v>
      </c>
      <c r="X130" s="4">
        <f t="shared" si="85"/>
        <v>9.6750396231388347</v>
      </c>
      <c r="Y130" s="4">
        <f t="shared" si="86"/>
        <v>10.51603006175676</v>
      </c>
      <c r="Z130" s="4">
        <f t="shared" si="87"/>
        <v>-144.10920015183902</v>
      </c>
      <c r="AA130" s="4">
        <f t="shared" si="88"/>
        <v>16.194066417888067</v>
      </c>
      <c r="AB130" s="4">
        <f t="shared" si="89"/>
        <v>-182.11867103613451</v>
      </c>
      <c r="AC130" s="4">
        <f t="shared" si="90"/>
        <v>1.8229668261855532</v>
      </c>
      <c r="AD130" s="4">
        <f t="shared" si="91"/>
        <v>336.2357687323663</v>
      </c>
      <c r="AE130" s="4">
        <f t="shared" si="92"/>
        <v>253.55231529119504</v>
      </c>
      <c r="AF130" s="4">
        <f t="shared" si="93"/>
        <v>472.8251762229325</v>
      </c>
      <c r="AG130" s="4">
        <f t="shared" si="94"/>
        <v>-28.844014737653982</v>
      </c>
      <c r="AH130" s="4">
        <f t="shared" si="95"/>
        <v>255.27835024358652</v>
      </c>
      <c r="AI130" s="4">
        <f t="shared" si="96"/>
        <v>242.0186174376714</v>
      </c>
      <c r="AJ130" s="4">
        <f t="shared" si="97"/>
        <v>-57.592389165116849</v>
      </c>
      <c r="AK130" s="4">
        <f t="shared" si="98"/>
        <v>-1511.5768174147061</v>
      </c>
      <c r="AL130" s="4">
        <f t="shared" si="99"/>
        <v>-4412.1342384265308</v>
      </c>
      <c r="AM130" s="4">
        <f t="shared" si="100"/>
        <v>-285.92671414072532</v>
      </c>
      <c r="AN130" s="4">
        <f t="shared" si="101"/>
        <v>954.60413229935602</v>
      </c>
      <c r="AO130" s="4">
        <f t="shared" si="102"/>
        <v>5484.2937370028521</v>
      </c>
      <c r="AP130" s="4">
        <f t="shared" si="103"/>
        <v>8538.8273293274524</v>
      </c>
      <c r="AQ130" s="4">
        <f t="shared" si="104"/>
        <v>2.3873794986914772E-2</v>
      </c>
      <c r="AR130" s="4">
        <f t="shared" si="105"/>
        <v>-0.42381979499103578</v>
      </c>
      <c r="AS130" s="4">
        <f t="shared" si="106"/>
        <v>2.4601734900849291E-2</v>
      </c>
      <c r="AT130" s="4">
        <f t="shared" si="107"/>
        <v>3.0933998172948582</v>
      </c>
      <c r="AU130" s="4">
        <f t="shared" si="108"/>
        <v>1.2029723879451666</v>
      </c>
      <c r="AV130" s="4">
        <f t="shared" si="109"/>
        <v>-2.1480395441315098E-2</v>
      </c>
      <c r="AW130" s="4">
        <f t="shared" si="110"/>
        <v>-10.813592200250518</v>
      </c>
      <c r="AX130" s="4">
        <f t="shared" si="111"/>
        <v>-22.500530760795293</v>
      </c>
      <c r="AY130" s="4">
        <f t="shared" si="112"/>
        <v>21.311975918661339</v>
      </c>
      <c r="AZ130" s="4">
        <f t="shared" si="113"/>
        <v>63.526723860220109</v>
      </c>
      <c r="BA130" s="4">
        <f t="shared" si="114"/>
        <v>-0.24431343196219807</v>
      </c>
      <c r="BB130" s="4">
        <f t="shared" si="115"/>
        <v>-17.430172199058692</v>
      </c>
      <c r="BC130" s="4">
        <f t="shared" si="116"/>
        <v>-4.0193942958627105</v>
      </c>
      <c r="BD130" s="4">
        <f t="shared" si="117"/>
        <v>83.361433850601145</v>
      </c>
      <c r="BE130" s="4">
        <f t="shared" si="118"/>
        <v>97.292288809775812</v>
      </c>
      <c r="BF130" s="4">
        <f t="shared" si="119"/>
        <v>-28.385138814239017</v>
      </c>
      <c r="BG130" s="4">
        <f t="shared" si="120"/>
        <v>-38.653538805562796</v>
      </c>
      <c r="BH130" s="4">
        <f t="shared" si="121"/>
        <v>-270.01700126300153</v>
      </c>
      <c r="BI130" s="4">
        <f t="shared" si="122"/>
        <v>-14.383787435620189</v>
      </c>
      <c r="BJ130" s="4">
        <f t="shared" si="123"/>
        <v>-156.73117801827954</v>
      </c>
      <c r="BK130" s="4">
        <f t="shared" si="124"/>
        <v>0.16409054036605172</v>
      </c>
      <c r="BL130" s="4">
        <f t="shared" si="125"/>
        <v>14.250961280372556</v>
      </c>
      <c r="BM130" s="4">
        <f t="shared" si="126"/>
        <v>13.629601081877862</v>
      </c>
      <c r="BN130" s="4">
        <f t="shared" si="127"/>
        <v>-45.619944675603392</v>
      </c>
      <c r="BO130" s="4">
        <f t="shared" si="128"/>
        <v>-193.95655215348438</v>
      </c>
      <c r="BP130" s="4">
        <f t="shared" si="129"/>
        <v>-51.838019355861718</v>
      </c>
      <c r="BQ130" s="4">
        <f t="shared" si="130"/>
        <v>-81.709942062955349</v>
      </c>
      <c r="BR130" s="4">
        <f t="shared" si="131"/>
        <v>191.94214371667363</v>
      </c>
      <c r="BS130" s="4">
        <f t="shared" si="132"/>
        <v>688.97635852233827</v>
      </c>
      <c r="BT130" s="4">
        <f t="shared" si="133"/>
        <v>1191.1831961006931</v>
      </c>
      <c r="BU130" s="4">
        <f t="shared" si="134"/>
        <v>43.465356188136511</v>
      </c>
      <c r="BV130" s="4">
        <f t="shared" si="135"/>
        <v>291.84509308056317</v>
      </c>
      <c r="BW130" s="4">
        <f t="shared" si="136"/>
        <v>-648.87732112401477</v>
      </c>
      <c r="BX130" s="4">
        <f t="shared" si="137"/>
        <v>-1557.0401444980596</v>
      </c>
      <c r="BY130" s="4">
        <f t="shared" si="138"/>
        <v>-1941.2100176139209</v>
      </c>
      <c r="BZ130" s="6">
        <f t="shared" si="139"/>
        <v>-1.5749939650527267</v>
      </c>
      <c r="CA130" s="7"/>
      <c r="CB130" s="6">
        <v>-1.5749950621325299</v>
      </c>
      <c r="CC130" s="6"/>
    </row>
    <row r="131" spans="1:81" x14ac:dyDescent="0.3">
      <c r="A131" s="4">
        <v>129</v>
      </c>
      <c r="B131" s="4">
        <v>168290080</v>
      </c>
      <c r="C131" s="4">
        <v>4.8540000000000001</v>
      </c>
      <c r="D131" s="4">
        <v>5.0019999999999998</v>
      </c>
      <c r="E131" s="4">
        <v>0.36899999999999999</v>
      </c>
      <c r="F131" s="4">
        <v>3.6949999999999998</v>
      </c>
      <c r="H131" s="6">
        <v>-2618.81325553337</v>
      </c>
      <c r="I131" s="4">
        <f t="shared" ref="I131:I194" si="140">$I$1*C131</f>
        <v>225.28774139340001</v>
      </c>
      <c r="J131" s="4">
        <f t="shared" ref="J131:J194" si="141">$J$1*D131</f>
        <v>-2461.6255615219998</v>
      </c>
      <c r="K131" s="4">
        <f t="shared" ref="K131:K194" si="142">$K$1*E131</f>
        <v>874.09701539999992</v>
      </c>
      <c r="L131" s="4">
        <f t="shared" ref="L131:L194" si="143">$L$1*F131</f>
        <v>11940.4151134</v>
      </c>
      <c r="M131" s="4">
        <f t="shared" ref="M131:M194" si="144">$M$1*C131^2</f>
        <v>91.037645760039126</v>
      </c>
      <c r="N131" s="4">
        <f t="shared" ref="N131:N194" si="145">$N$1*C131*D131</f>
        <v>61.420699519325154</v>
      </c>
      <c r="O131" s="4">
        <f t="shared" ref="O131:O194" si="146">$O$1*C131*E131</f>
        <v>-123.28339602160798</v>
      </c>
      <c r="P131" s="4">
        <f t="shared" ref="P131:P194" si="147">$P$1*C131*F131</f>
        <v>-687.6926823788699</v>
      </c>
      <c r="Q131" s="4">
        <f t="shared" ref="Q131:Q194" si="148">$Q$1*D131^2</f>
        <v>-300.26400465382994</v>
      </c>
      <c r="R131" s="4">
        <f t="shared" ref="R131:R194" si="149">$R$1*D131*E131</f>
        <v>333.99844713046798</v>
      </c>
      <c r="S131" s="4">
        <f t="shared" ref="S131:S194" si="150">$S$1*D131*F131</f>
        <v>7819.9799215971298</v>
      </c>
      <c r="T131" s="4">
        <f t="shared" ref="T131:T194" si="151">$T$1*E131^2</f>
        <v>-56.516445122885997</v>
      </c>
      <c r="U131" s="4">
        <f t="shared" ref="U131:U194" si="152">$U$1*E131*F131</f>
        <v>-2803.2843544960501</v>
      </c>
      <c r="V131" s="4">
        <f t="shared" ref="V131:V194" si="153">$V$1*F131^2</f>
        <v>-20297.920865542499</v>
      </c>
      <c r="W131" s="4">
        <f t="shared" ref="W131:W194" si="154">$W$1*C131^3</f>
        <v>-4.1385823033488718</v>
      </c>
      <c r="X131" s="4">
        <f t="shared" ref="X131:X194" si="155">$X$1*(C131^2)*D131</f>
        <v>15.637801440406774</v>
      </c>
      <c r="Y131" s="4">
        <f t="shared" ref="Y131:Y194" si="156">$Y$1*(C131^2)*E131</f>
        <v>5.171156319805962</v>
      </c>
      <c r="Z131" s="4">
        <f t="shared" ref="Z131:Z194" si="157">$Z$1*(C131^2)*F131</f>
        <v>-228.32734933849875</v>
      </c>
      <c r="AA131" s="4">
        <f t="shared" ref="AA131:AA194" si="158">$AA$1*C131*(D131^2)</f>
        <v>28.216770233206731</v>
      </c>
      <c r="AB131" s="4">
        <f t="shared" ref="AB131:AB194" si="159">$AB$1*C131*D131*E131</f>
        <v>-96.542549476523931</v>
      </c>
      <c r="AC131" s="4">
        <f t="shared" ref="AC131:AC194" si="160">$AC$1*C131*D131*F131</f>
        <v>3.1136761227236254</v>
      </c>
      <c r="AD131" s="4">
        <f t="shared" ref="AD131:AD194" si="161">$AD$1*C131*(E131^2)</f>
        <v>54.227690409403415</v>
      </c>
      <c r="AE131" s="4">
        <f t="shared" ref="AE131:AE194" si="162">$AE$1*C131*E131*F131</f>
        <v>131.75744260398446</v>
      </c>
      <c r="AF131" s="4">
        <f t="shared" ref="AF131:AF194" si="163">$AF$1*C131*(F131^2)</f>
        <v>791.65972096309929</v>
      </c>
      <c r="AG131" s="4">
        <f t="shared" ref="AG131:AG194" si="164">$AG$1*D131^3</f>
        <v>-54.179568003873491</v>
      </c>
      <c r="AH131" s="4">
        <f t="shared" ref="AH131:AH194" si="165">$AH$1*(D131^2)*E131</f>
        <v>145.88368296453135</v>
      </c>
      <c r="AI131" s="4">
        <f t="shared" ref="AI131:AI194" si="166">$AI$1*(D131^2)*F131</f>
        <v>445.6274038046634</v>
      </c>
      <c r="AJ131" s="4">
        <f t="shared" ref="AJ131:AJ194" si="167">$AJ$1*D131*(E131^2)</f>
        <v>-10.013150295338674</v>
      </c>
      <c r="AK131" s="4">
        <f t="shared" ref="AK131:AK194" si="168">$AK$1*D131*E131*F131</f>
        <v>-846.77151898562272</v>
      </c>
      <c r="AL131" s="4">
        <f t="shared" ref="AL131:AL194" si="169">$AL$1*D131*(F131^2)</f>
        <v>-7963.7041306255624</v>
      </c>
      <c r="AM131" s="4">
        <f t="shared" ref="AM131:AM194" si="170">$AM$1*E131^3</f>
        <v>-15.124230179531892</v>
      </c>
      <c r="AN131" s="4">
        <f t="shared" ref="AN131:AN194" si="171">$AN$1*(E131^2)*F131</f>
        <v>162.69426146539803</v>
      </c>
      <c r="AO131" s="4">
        <f t="shared" ref="AO131:AO194" si="172">$AO$1*E131*(F131^2)</f>
        <v>3011.6188865993786</v>
      </c>
      <c r="AP131" s="4">
        <f t="shared" ref="AP131:AP194" si="173">$AP$1*F131^3</f>
        <v>15108.0326904911</v>
      </c>
      <c r="AQ131" s="4">
        <f t="shared" ref="AQ131:AQ194" si="174">$AQ$1*C131^4</f>
        <v>4.0968254265746351E-2</v>
      </c>
      <c r="AR131" s="4">
        <f t="shared" ref="AR131:AR194" si="175">$AR$1*(C131^3)*D131</f>
        <v>-0.78403541218741213</v>
      </c>
      <c r="AS131" s="4">
        <f t="shared" ref="AS131:AS194" si="176">$AS$1*(C131^3)*E131</f>
        <v>1.3846279095939086E-2</v>
      </c>
      <c r="AT131" s="4">
        <f t="shared" ref="AT131:AT194" si="177">$AT$1*(C131^3)*F131</f>
        <v>5.60962438513402</v>
      </c>
      <c r="AU131" s="4">
        <f t="shared" ref="AU131:AU194" si="178">$AU$1*(C131^2)*(D131^2)</f>
        <v>2.399045827773473</v>
      </c>
      <c r="AV131" s="4">
        <f t="shared" ref="AV131:AV194" si="179">$AV$1*(C131^2)*D131*E131</f>
        <v>-1.3032809962131808E-2</v>
      </c>
      <c r="AW131" s="4">
        <f t="shared" ref="AW131:AW194" si="180">$AW$1*(C131^2)*D131*F131</f>
        <v>-21.139570424355117</v>
      </c>
      <c r="AX131" s="4">
        <f t="shared" ref="AX131:AX194" si="181">$AX$1*(C131^2)*(E131^2)</f>
        <v>-4.1533780027577123</v>
      </c>
      <c r="AY131" s="4">
        <f t="shared" ref="AY131:AY194" si="182">$AY$1*(C131^2)*E131*F131</f>
        <v>12.67543265876567</v>
      </c>
      <c r="AZ131" s="4">
        <f t="shared" ref="AZ131:AZ194" si="183">$AZ$1*(C131^2)*(F131^2)</f>
        <v>121.7379303974997</v>
      </c>
      <c r="BA131" s="4">
        <f t="shared" ref="BA131:BA194" si="184">$BA$1*C131*(D131^3)</f>
        <v>-0.52524106480729915</v>
      </c>
      <c r="BB131" s="4">
        <f t="shared" ref="BB131:BB194" si="185">$BB$1*C131*(D131^2)*E131</f>
        <v>-11.400552834781847</v>
      </c>
      <c r="BC131" s="4">
        <f t="shared" ref="BC131:BC194" si="186">$BC$1*C131*(D131^2)*F131</f>
        <v>-8.4706205127668106</v>
      </c>
      <c r="BD131" s="4">
        <f t="shared" ref="BD131:BD194" si="187">$BD$1*C131*D131*(E131^2)</f>
        <v>16.588316588323256</v>
      </c>
      <c r="BE131" s="4">
        <f t="shared" ref="BE131:BE194" si="188">$BE$1*C131*D131*E131*F131</f>
        <v>62.380081722917041</v>
      </c>
      <c r="BF131" s="4">
        <f t="shared" ref="BF131:BF194" si="189">$BF$1*C131*D131*(F131^2)</f>
        <v>-58.639319441678673</v>
      </c>
      <c r="BG131" s="4">
        <f t="shared" ref="BG131:BG194" si="190">$BG$1*C131*(E131^3)</f>
        <v>-2.3401263406274628</v>
      </c>
      <c r="BH131" s="4">
        <f t="shared" ref="BH131:BH194" si="191">$BH$1*C131*(E131^2)*F131</f>
        <v>-52.670996396084128</v>
      </c>
      <c r="BI131" s="4">
        <f t="shared" ref="BI131:BI194" si="192">$BI$1*C131*E131*(F131^2)</f>
        <v>-9.0403253521951026</v>
      </c>
      <c r="BJ131" s="4">
        <f t="shared" ref="BJ131:BJ194" si="193">$BJ$1*C131*(F131^3)</f>
        <v>-317.39244276877974</v>
      </c>
      <c r="BK131" s="4">
        <f t="shared" ref="BK131:BK194" si="194">$BK$1*D131^4</f>
        <v>0.38029736592112828</v>
      </c>
      <c r="BL131" s="4">
        <f t="shared" ref="BL131:BL194" si="195">$BL$1*(D131^3)*E131</f>
        <v>10.048398211693865</v>
      </c>
      <c r="BM131" s="4">
        <f t="shared" ref="BM131:BM194" si="196">$BM$1*(D131^3)*F131</f>
        <v>30.964651902397542</v>
      </c>
      <c r="BN131" s="4">
        <f t="shared" ref="BN131:BN194" si="197">$BN$1*(D131^2)*(E131^2)</f>
        <v>-9.7863408318048943</v>
      </c>
      <c r="BO131" s="4">
        <f t="shared" ref="BO131:BO194" si="198">$BO$1*(D131^2)*E131*F131</f>
        <v>-134.0603712931786</v>
      </c>
      <c r="BP131" s="4">
        <f t="shared" ref="BP131:BP194" si="199">$BP$1*(D131^2)*(F131^2)</f>
        <v>-115.44489734377152</v>
      </c>
      <c r="BQ131" s="4">
        <f t="shared" ref="BQ131:BQ194" si="200">$BQ$1*D131*(E131^3)</f>
        <v>-5.3327765990517406</v>
      </c>
      <c r="BR131" s="4">
        <f t="shared" ref="BR131:BR194" si="201">$BR$1*D131*(E131^2)*F131</f>
        <v>40.362606949178087</v>
      </c>
      <c r="BS131" s="4">
        <f t="shared" ref="BS131:BS194" si="202">$BS$1*D131*E131*(F131^2)</f>
        <v>466.81367237313071</v>
      </c>
      <c r="BT131" s="4">
        <f t="shared" ref="BT131:BT194" si="203">$BT$1*D131*(F131^3)</f>
        <v>2600.4480714306051</v>
      </c>
      <c r="BU131" s="4">
        <f t="shared" ref="BU131:BU194" si="204">$BU$1*E131^4</f>
        <v>0.86304737550941213</v>
      </c>
      <c r="BV131" s="4">
        <f t="shared" ref="BV131:BV194" si="205">$BV$1*(E131^3)*F131</f>
        <v>18.671283312662787</v>
      </c>
      <c r="BW131" s="4">
        <f t="shared" ref="BW131:BW194" si="206">$BW$1*(E131^2)*(F131^2)</f>
        <v>-133.75645451023385</v>
      </c>
      <c r="BX131" s="4">
        <f t="shared" ref="BX131:BX194" si="207">$BX$1*E131*(F131^3)</f>
        <v>-1034.1471578651915</v>
      </c>
      <c r="BY131" s="4">
        <f t="shared" ref="BY131:BY194" si="208">$BY$1*F131^4</f>
        <v>-4154.18120440035</v>
      </c>
      <c r="BZ131" s="6">
        <f t="shared" ref="BZ131:BZ194" si="209">SUM(G131:BY131)</f>
        <v>-1.6054460310397189</v>
      </c>
      <c r="CA131" s="7"/>
      <c r="CB131" s="6">
        <v>-1.605446320411829</v>
      </c>
      <c r="CC131" s="6"/>
    </row>
    <row r="132" spans="1:81" x14ac:dyDescent="0.3">
      <c r="A132" s="4">
        <v>130</v>
      </c>
      <c r="B132" s="4">
        <v>46193735</v>
      </c>
      <c r="C132" s="4">
        <v>4.5049999999999999</v>
      </c>
      <c r="D132" s="4">
        <v>4.4640000000000004</v>
      </c>
      <c r="E132" s="4">
        <v>0.91700000000000004</v>
      </c>
      <c r="F132" s="4">
        <v>3.0630000000000002</v>
      </c>
      <c r="H132" s="6">
        <v>-2618.81325553337</v>
      </c>
      <c r="I132" s="4">
        <f t="shared" si="140"/>
        <v>209.08967346049999</v>
      </c>
      <c r="J132" s="4">
        <f t="shared" si="141"/>
        <v>-2196.8605571040002</v>
      </c>
      <c r="K132" s="4">
        <f t="shared" si="142"/>
        <v>2172.2139922000001</v>
      </c>
      <c r="L132" s="4">
        <f t="shared" si="143"/>
        <v>9898.1032455599998</v>
      </c>
      <c r="M132" s="4">
        <f t="shared" si="144"/>
        <v>78.417151938420503</v>
      </c>
      <c r="N132" s="4">
        <f t="shared" si="145"/>
        <v>50.873343367946397</v>
      </c>
      <c r="O132" s="4">
        <f t="shared" si="146"/>
        <v>-284.34302670718</v>
      </c>
      <c r="P132" s="4">
        <f t="shared" si="147"/>
        <v>-529.08077436238489</v>
      </c>
      <c r="Q132" s="4">
        <f t="shared" si="148"/>
        <v>-239.14663238592007</v>
      </c>
      <c r="R132" s="4">
        <f t="shared" si="149"/>
        <v>740.74361331196803</v>
      </c>
      <c r="S132" s="4">
        <f t="shared" si="150"/>
        <v>5785.2041702041452</v>
      </c>
      <c r="T132" s="4">
        <f t="shared" si="151"/>
        <v>-349.028407715414</v>
      </c>
      <c r="U132" s="4">
        <f t="shared" si="152"/>
        <v>-5774.8761782840111</v>
      </c>
      <c r="V132" s="4">
        <f t="shared" si="153"/>
        <v>-13948.151733771301</v>
      </c>
      <c r="W132" s="4">
        <f t="shared" si="154"/>
        <v>-3.3085421081586843</v>
      </c>
      <c r="X132" s="4">
        <f t="shared" si="155"/>
        <v>12.02115618007171</v>
      </c>
      <c r="Y132" s="4">
        <f t="shared" si="156"/>
        <v>11.069313371959455</v>
      </c>
      <c r="Z132" s="4">
        <f t="shared" si="157"/>
        <v>-163.03488281913272</v>
      </c>
      <c r="AA132" s="4">
        <f t="shared" si="158"/>
        <v>20.857551382855288</v>
      </c>
      <c r="AB132" s="4">
        <f t="shared" si="159"/>
        <v>-198.71802159988215</v>
      </c>
      <c r="AC132" s="4">
        <f t="shared" si="160"/>
        <v>2.1378710790605888</v>
      </c>
      <c r="AD132" s="4">
        <f t="shared" si="161"/>
        <v>310.81507194036476</v>
      </c>
      <c r="AE132" s="4">
        <f t="shared" si="162"/>
        <v>251.91017148464093</v>
      </c>
      <c r="AF132" s="4">
        <f t="shared" si="163"/>
        <v>504.89222209248339</v>
      </c>
      <c r="AG132" s="4">
        <f t="shared" si="164"/>
        <v>-38.510311674962772</v>
      </c>
      <c r="AH132" s="4">
        <f t="shared" si="165"/>
        <v>288.74248214047822</v>
      </c>
      <c r="AI132" s="4">
        <f t="shared" si="166"/>
        <v>294.21542705106032</v>
      </c>
      <c r="AJ132" s="4">
        <f t="shared" si="167"/>
        <v>-55.1870490827231</v>
      </c>
      <c r="AK132" s="4">
        <f t="shared" si="168"/>
        <v>-1556.7621513152853</v>
      </c>
      <c r="AL132" s="4">
        <f t="shared" si="169"/>
        <v>-4883.8320808923854</v>
      </c>
      <c r="AM132" s="4">
        <f t="shared" si="170"/>
        <v>-232.11445488794709</v>
      </c>
      <c r="AN132" s="4">
        <f t="shared" si="171"/>
        <v>832.89590705197088</v>
      </c>
      <c r="AO132" s="4">
        <f t="shared" si="172"/>
        <v>5142.9001166193866</v>
      </c>
      <c r="AP132" s="4">
        <f t="shared" si="173"/>
        <v>8606.0839482361862</v>
      </c>
      <c r="AQ132" s="4">
        <f t="shared" si="174"/>
        <v>3.0396777989638139E-2</v>
      </c>
      <c r="AR132" s="4">
        <f t="shared" si="175"/>
        <v>-0.55937267457045015</v>
      </c>
      <c r="AS132" s="4">
        <f t="shared" si="176"/>
        <v>2.7508133337970184E-2</v>
      </c>
      <c r="AT132" s="4">
        <f t="shared" si="177"/>
        <v>3.7175036734028244</v>
      </c>
      <c r="AU132" s="4">
        <f t="shared" si="178"/>
        <v>1.6458474838413448</v>
      </c>
      <c r="AV132" s="4">
        <f t="shared" si="179"/>
        <v>-2.4897261301003761E-2</v>
      </c>
      <c r="AW132" s="4">
        <f t="shared" si="180"/>
        <v>-13.470982037673242</v>
      </c>
      <c r="AX132" s="4">
        <f t="shared" si="181"/>
        <v>-22.094157424840947</v>
      </c>
      <c r="AY132" s="4">
        <f t="shared" si="182"/>
        <v>22.492014899982507</v>
      </c>
      <c r="AZ132" s="4">
        <f t="shared" si="183"/>
        <v>72.057811702842002</v>
      </c>
      <c r="BA132" s="4">
        <f t="shared" si="184"/>
        <v>-0.34649357985212731</v>
      </c>
      <c r="BB132" s="4">
        <f t="shared" si="185"/>
        <v>-20.942325312569896</v>
      </c>
      <c r="BC132" s="4">
        <f t="shared" si="186"/>
        <v>-5.1904355180397452</v>
      </c>
      <c r="BD132" s="4">
        <f t="shared" si="187"/>
        <v>84.852330752523613</v>
      </c>
      <c r="BE132" s="4">
        <f t="shared" si="188"/>
        <v>106.43806847183829</v>
      </c>
      <c r="BF132" s="4">
        <f t="shared" si="189"/>
        <v>-33.375636079153573</v>
      </c>
      <c r="BG132" s="4">
        <f t="shared" si="190"/>
        <v>-33.332143045151312</v>
      </c>
      <c r="BH132" s="4">
        <f t="shared" si="191"/>
        <v>-250.25631801010624</v>
      </c>
      <c r="BI132" s="4">
        <f t="shared" si="192"/>
        <v>-14.328052414182034</v>
      </c>
      <c r="BJ132" s="4">
        <f t="shared" si="193"/>
        <v>-167.79896099918332</v>
      </c>
      <c r="BK132" s="4">
        <f t="shared" si="194"/>
        <v>0.24123777348651829</v>
      </c>
      <c r="BL132" s="4">
        <f t="shared" si="195"/>
        <v>17.749302972014949</v>
      </c>
      <c r="BM132" s="4">
        <f t="shared" si="196"/>
        <v>18.244848094815783</v>
      </c>
      <c r="BN132" s="4">
        <f t="shared" si="197"/>
        <v>-48.135697925022122</v>
      </c>
      <c r="BO132" s="4">
        <f t="shared" si="198"/>
        <v>-219.95656992748792</v>
      </c>
      <c r="BP132" s="4">
        <f t="shared" si="199"/>
        <v>-63.183087910945957</v>
      </c>
      <c r="BQ132" s="4">
        <f t="shared" si="200"/>
        <v>-73.040341932431701</v>
      </c>
      <c r="BR132" s="4">
        <f t="shared" si="201"/>
        <v>184.40733874615418</v>
      </c>
      <c r="BS132" s="4">
        <f t="shared" si="202"/>
        <v>711.42994899360974</v>
      </c>
      <c r="BT132" s="4">
        <f t="shared" si="203"/>
        <v>1321.9844492607865</v>
      </c>
      <c r="BU132" s="4">
        <f t="shared" si="204"/>
        <v>32.915959118937295</v>
      </c>
      <c r="BV132" s="4">
        <f t="shared" si="205"/>
        <v>237.53938704350642</v>
      </c>
      <c r="BW132" s="4">
        <f t="shared" si="206"/>
        <v>-567.63059484999667</v>
      </c>
      <c r="BX132" s="4">
        <f t="shared" si="207"/>
        <v>-1463.9389788334784</v>
      </c>
      <c r="BY132" s="4">
        <f t="shared" si="208"/>
        <v>-1961.6234867905373</v>
      </c>
      <c r="BZ132" s="6">
        <f t="shared" si="209"/>
        <v>-2.0362101980131229</v>
      </c>
      <c r="CA132" s="7"/>
      <c r="CB132" s="6">
        <v>-2.0362115216821621</v>
      </c>
      <c r="CC132" s="6"/>
    </row>
    <row r="133" spans="1:81" x14ac:dyDescent="0.3">
      <c r="A133" s="4">
        <v>131</v>
      </c>
      <c r="B133" s="4">
        <v>3254116</v>
      </c>
      <c r="C133" s="4">
        <v>2.6349999999999998</v>
      </c>
      <c r="D133" s="4">
        <v>4.4580000000000002</v>
      </c>
      <c r="E133" s="4">
        <v>0.61099999999999999</v>
      </c>
      <c r="F133" s="4">
        <v>3.7450000000000001</v>
      </c>
      <c r="H133" s="6">
        <v>-2618.81325553337</v>
      </c>
      <c r="I133" s="4">
        <f t="shared" si="140"/>
        <v>122.29773353349999</v>
      </c>
      <c r="J133" s="4">
        <f t="shared" si="141"/>
        <v>-2193.9077875380003</v>
      </c>
      <c r="K133" s="4">
        <f t="shared" si="142"/>
        <v>1447.3530526</v>
      </c>
      <c r="L133" s="4">
        <f t="shared" si="143"/>
        <v>12101.990419400001</v>
      </c>
      <c r="M133" s="4">
        <f t="shared" si="144"/>
        <v>26.827655041944499</v>
      </c>
      <c r="N133" s="4">
        <f t="shared" si="145"/>
        <v>29.716111731434093</v>
      </c>
      <c r="O133" s="4">
        <f t="shared" si="146"/>
        <v>-110.81544142837998</v>
      </c>
      <c r="P133" s="4">
        <f t="shared" si="147"/>
        <v>-378.36645845792498</v>
      </c>
      <c r="Q133" s="4">
        <f t="shared" si="148"/>
        <v>-238.50419712903002</v>
      </c>
      <c r="R133" s="4">
        <f t="shared" si="149"/>
        <v>492.89642529706799</v>
      </c>
      <c r="S133" s="4">
        <f t="shared" si="150"/>
        <v>7063.8162589820713</v>
      </c>
      <c r="T133" s="4">
        <f t="shared" si="151"/>
        <v>-154.95461850104599</v>
      </c>
      <c r="U133" s="4">
        <f t="shared" si="152"/>
        <v>-4704.563952265451</v>
      </c>
      <c r="V133" s="4">
        <f t="shared" si="153"/>
        <v>-20850.9724099425</v>
      </c>
      <c r="W133" s="4">
        <f t="shared" si="154"/>
        <v>-0.66205510551767799</v>
      </c>
      <c r="X133" s="4">
        <f t="shared" si="155"/>
        <v>4.1070857110417656</v>
      </c>
      <c r="Y133" s="4">
        <f t="shared" si="156"/>
        <v>2.5232727962064621</v>
      </c>
      <c r="Z133" s="4">
        <f t="shared" si="157"/>
        <v>-68.195702790062242</v>
      </c>
      <c r="AA133" s="4">
        <f t="shared" si="158"/>
        <v>12.16692701291028</v>
      </c>
      <c r="AB133" s="4">
        <f t="shared" si="159"/>
        <v>-77.341186755213599</v>
      </c>
      <c r="AC133" s="4">
        <f t="shared" si="160"/>
        <v>1.5268207020940372</v>
      </c>
      <c r="AD133" s="4">
        <f t="shared" si="161"/>
        <v>80.710798448715337</v>
      </c>
      <c r="AE133" s="4">
        <f t="shared" si="162"/>
        <v>120.03509142415449</v>
      </c>
      <c r="AF133" s="4">
        <f t="shared" si="163"/>
        <v>441.46284228567231</v>
      </c>
      <c r="AG133" s="4">
        <f t="shared" si="164"/>
        <v>-38.355236781035963</v>
      </c>
      <c r="AH133" s="4">
        <f t="shared" si="165"/>
        <v>191.87319906259006</v>
      </c>
      <c r="AI133" s="4">
        <f t="shared" si="166"/>
        <v>358.75835391308595</v>
      </c>
      <c r="AJ133" s="4">
        <f t="shared" si="167"/>
        <v>-24.467905798966715</v>
      </c>
      <c r="AK133" s="4">
        <f t="shared" si="168"/>
        <v>-1266.5281365788799</v>
      </c>
      <c r="AL133" s="4">
        <f t="shared" si="169"/>
        <v>-7290.9857933778494</v>
      </c>
      <c r="AM133" s="4">
        <f t="shared" si="170"/>
        <v>-68.662215197125619</v>
      </c>
      <c r="AN133" s="4">
        <f t="shared" si="171"/>
        <v>452.10499188270273</v>
      </c>
      <c r="AO133" s="4">
        <f t="shared" si="172"/>
        <v>5122.5902049278602</v>
      </c>
      <c r="AP133" s="4">
        <f t="shared" si="173"/>
        <v>15729.686020875033</v>
      </c>
      <c r="AQ133" s="4">
        <f t="shared" si="174"/>
        <v>3.5577124899950456E-3</v>
      </c>
      <c r="AR133" s="4">
        <f t="shared" si="175"/>
        <v>-0.11178270071233762</v>
      </c>
      <c r="AS133" s="4">
        <f t="shared" si="176"/>
        <v>3.6676718167481556E-3</v>
      </c>
      <c r="AT133" s="4">
        <f t="shared" si="177"/>
        <v>0.90952303831897074</v>
      </c>
      <c r="AU133" s="4">
        <f t="shared" si="178"/>
        <v>0.56155589771414938</v>
      </c>
      <c r="AV133" s="4">
        <f t="shared" si="179"/>
        <v>-5.6677538234036441E-3</v>
      </c>
      <c r="AW133" s="4">
        <f t="shared" si="180"/>
        <v>-5.6271903856001844</v>
      </c>
      <c r="AX133" s="4">
        <f t="shared" si="181"/>
        <v>-3.355775057364109</v>
      </c>
      <c r="AY133" s="4">
        <f t="shared" si="182"/>
        <v>6.2686888051268852</v>
      </c>
      <c r="AZ133" s="4">
        <f t="shared" si="183"/>
        <v>36.852110777486075</v>
      </c>
      <c r="BA133" s="4">
        <f t="shared" si="184"/>
        <v>-0.20184995219810845</v>
      </c>
      <c r="BB133" s="4">
        <f t="shared" si="185"/>
        <v>-8.1398116696505642</v>
      </c>
      <c r="BC133" s="4">
        <f t="shared" si="186"/>
        <v>-3.70191298244236</v>
      </c>
      <c r="BD133" s="4">
        <f t="shared" si="187"/>
        <v>22.004384633952863</v>
      </c>
      <c r="BE133" s="4">
        <f t="shared" si="188"/>
        <v>50.649526194936755</v>
      </c>
      <c r="BF133" s="4">
        <f t="shared" si="189"/>
        <v>-29.143446107186108</v>
      </c>
      <c r="BG133" s="4">
        <f t="shared" si="190"/>
        <v>-5.7671956492671157</v>
      </c>
      <c r="BH133" s="4">
        <f t="shared" si="191"/>
        <v>-79.454673828955507</v>
      </c>
      <c r="BI133" s="4">
        <f t="shared" si="192"/>
        <v>-8.3474631556008809</v>
      </c>
      <c r="BJ133" s="4">
        <f t="shared" si="193"/>
        <v>-179.38642186742413</v>
      </c>
      <c r="BK133" s="4">
        <f t="shared" si="194"/>
        <v>0.23994340874096154</v>
      </c>
      <c r="BL133" s="4">
        <f t="shared" si="195"/>
        <v>11.778793604994569</v>
      </c>
      <c r="BM133" s="4">
        <f t="shared" si="196"/>
        <v>22.217373274918746</v>
      </c>
      <c r="BN133" s="4">
        <f t="shared" si="197"/>
        <v>-21.312911356659104</v>
      </c>
      <c r="BO133" s="4">
        <f t="shared" si="198"/>
        <v>-178.70857621208447</v>
      </c>
      <c r="BP133" s="4">
        <f t="shared" si="199"/>
        <v>-94.198124065321977</v>
      </c>
      <c r="BQ133" s="4">
        <f t="shared" si="200"/>
        <v>-21.577160874165582</v>
      </c>
      <c r="BR133" s="4">
        <f t="shared" si="201"/>
        <v>99.963776077306989</v>
      </c>
      <c r="BS133" s="4">
        <f t="shared" si="202"/>
        <v>707.66798243227561</v>
      </c>
      <c r="BT133" s="4">
        <f t="shared" si="203"/>
        <v>2412.9965468003102</v>
      </c>
      <c r="BU133" s="4">
        <f t="shared" si="204"/>
        <v>6.4877485988195502</v>
      </c>
      <c r="BV133" s="4">
        <f t="shared" si="205"/>
        <v>85.912445301601721</v>
      </c>
      <c r="BW133" s="4">
        <f t="shared" si="206"/>
        <v>-376.72044908706749</v>
      </c>
      <c r="BX133" s="4">
        <f t="shared" si="207"/>
        <v>-1782.8275011968976</v>
      </c>
      <c r="BY133" s="4">
        <f t="shared" si="208"/>
        <v>-4383.640731887851</v>
      </c>
      <c r="BZ133" s="6">
        <f t="shared" si="209"/>
        <v>-1.3641091117269752</v>
      </c>
      <c r="CA133" s="7"/>
      <c r="CB133" s="6">
        <v>-1.3641089806405939</v>
      </c>
      <c r="CC133" s="6"/>
    </row>
    <row r="134" spans="1:81" x14ac:dyDescent="0.3">
      <c r="A134" s="4">
        <v>132</v>
      </c>
      <c r="B134" s="4">
        <v>5940056</v>
      </c>
      <c r="C134" s="4">
        <v>4.2729999999999997</v>
      </c>
      <c r="D134" s="4">
        <v>3.52</v>
      </c>
      <c r="E134" s="4">
        <v>0.56299999999999994</v>
      </c>
      <c r="F134" s="4">
        <v>3.524</v>
      </c>
      <c r="H134" s="6">
        <v>-2618.81325553337</v>
      </c>
      <c r="I134" s="4">
        <f t="shared" si="140"/>
        <v>198.32190337329999</v>
      </c>
      <c r="J134" s="4">
        <f t="shared" si="141"/>
        <v>-1732.29147872</v>
      </c>
      <c r="K134" s="4">
        <f t="shared" si="142"/>
        <v>1333.6493757999997</v>
      </c>
      <c r="L134" s="4">
        <f t="shared" si="143"/>
        <v>11387.82756688</v>
      </c>
      <c r="M134" s="4">
        <f t="shared" si="144"/>
        <v>70.548414833933762</v>
      </c>
      <c r="N134" s="4">
        <f t="shared" si="145"/>
        <v>38.049316105539191</v>
      </c>
      <c r="O134" s="4">
        <f t="shared" si="146"/>
        <v>-165.58452198549196</v>
      </c>
      <c r="P134" s="4">
        <f t="shared" si="147"/>
        <v>-577.36304259090798</v>
      </c>
      <c r="Q134" s="4">
        <f t="shared" si="148"/>
        <v>-148.69666380800001</v>
      </c>
      <c r="R134" s="4">
        <f t="shared" si="149"/>
        <v>358.61252387135994</v>
      </c>
      <c r="S134" s="4">
        <f t="shared" si="150"/>
        <v>5248.3896583641599</v>
      </c>
      <c r="T134" s="4">
        <f t="shared" si="151"/>
        <v>-131.56455294949396</v>
      </c>
      <c r="U134" s="4">
        <f t="shared" si="152"/>
        <v>-4079.1590472237203</v>
      </c>
      <c r="V134" s="4">
        <f t="shared" si="153"/>
        <v>-18462.668376475198</v>
      </c>
      <c r="W134" s="4">
        <f t="shared" si="154"/>
        <v>-2.8232605444006178</v>
      </c>
      <c r="X134" s="4">
        <f t="shared" si="155"/>
        <v>8.5278766929865366</v>
      </c>
      <c r="Y134" s="4">
        <f t="shared" si="156"/>
        <v>6.1141478529488182</v>
      </c>
      <c r="Z134" s="4">
        <f t="shared" si="157"/>
        <v>-168.75071965449499</v>
      </c>
      <c r="AA134" s="4">
        <f t="shared" si="158"/>
        <v>12.300942112704817</v>
      </c>
      <c r="AB134" s="4">
        <f t="shared" si="159"/>
        <v>-91.250003333507024</v>
      </c>
      <c r="AC134" s="4">
        <f t="shared" si="160"/>
        <v>1.8396152037542175</v>
      </c>
      <c r="AD134" s="4">
        <f t="shared" si="161"/>
        <v>111.1266663172309</v>
      </c>
      <c r="AE134" s="4">
        <f t="shared" si="162"/>
        <v>168.77641710519475</v>
      </c>
      <c r="AF134" s="4">
        <f t="shared" si="163"/>
        <v>633.89099719853937</v>
      </c>
      <c r="AG134" s="4">
        <f t="shared" si="164"/>
        <v>-18.881324932005889</v>
      </c>
      <c r="AH134" s="4">
        <f t="shared" si="165"/>
        <v>110.22667315337215</v>
      </c>
      <c r="AI134" s="4">
        <f t="shared" si="166"/>
        <v>210.47053211469824</v>
      </c>
      <c r="AJ134" s="4">
        <f t="shared" si="167"/>
        <v>-16.40339595772134</v>
      </c>
      <c r="AK134" s="4">
        <f t="shared" si="168"/>
        <v>-867.09903712306675</v>
      </c>
      <c r="AL134" s="4">
        <f t="shared" si="169"/>
        <v>-5097.4973273653859</v>
      </c>
      <c r="AM134" s="4">
        <f t="shared" si="170"/>
        <v>-53.71794181365982</v>
      </c>
      <c r="AN134" s="4">
        <f t="shared" si="171"/>
        <v>361.20832332978</v>
      </c>
      <c r="AO134" s="4">
        <f t="shared" si="172"/>
        <v>4179.5060165949953</v>
      </c>
      <c r="AP134" s="4">
        <f t="shared" si="173"/>
        <v>13106.06407589753</v>
      </c>
      <c r="AQ134" s="4">
        <f t="shared" si="174"/>
        <v>2.4602539714064724E-2</v>
      </c>
      <c r="AR134" s="4">
        <f t="shared" si="175"/>
        <v>-0.3763864820070757</v>
      </c>
      <c r="AS134" s="4">
        <f t="shared" si="176"/>
        <v>1.4411675423672098E-2</v>
      </c>
      <c r="AT134" s="4">
        <f t="shared" si="177"/>
        <v>3.6496784379355129</v>
      </c>
      <c r="AU134" s="4">
        <f t="shared" si="178"/>
        <v>0.9206673417414788</v>
      </c>
      <c r="AV134" s="4">
        <f t="shared" si="179"/>
        <v>-1.0843895133507763E-2</v>
      </c>
      <c r="AW134" s="4">
        <f t="shared" si="180"/>
        <v>-10.994686045107402</v>
      </c>
      <c r="AX134" s="4">
        <f t="shared" si="181"/>
        <v>-7.4925863621700808</v>
      </c>
      <c r="AY134" s="4">
        <f t="shared" si="182"/>
        <v>14.293300345815664</v>
      </c>
      <c r="AZ134" s="4">
        <f t="shared" si="183"/>
        <v>85.80944043309087</v>
      </c>
      <c r="BA134" s="4">
        <f t="shared" si="184"/>
        <v>-0.16113456914796706</v>
      </c>
      <c r="BB134" s="4">
        <f t="shared" si="185"/>
        <v>-7.58296433382821</v>
      </c>
      <c r="BC134" s="4">
        <f t="shared" si="186"/>
        <v>-3.5218248669659276</v>
      </c>
      <c r="BD134" s="4">
        <f t="shared" si="187"/>
        <v>23.922054175437797</v>
      </c>
      <c r="BE134" s="4">
        <f t="shared" si="188"/>
        <v>56.231739965401104</v>
      </c>
      <c r="BF134" s="4">
        <f t="shared" si="189"/>
        <v>-33.041817812233781</v>
      </c>
      <c r="BG134" s="4">
        <f t="shared" si="190"/>
        <v>-7.3167549825501448</v>
      </c>
      <c r="BH134" s="4">
        <f t="shared" si="191"/>
        <v>-102.94142346796963</v>
      </c>
      <c r="BI134" s="4">
        <f t="shared" si="192"/>
        <v>-11.04439991909263</v>
      </c>
      <c r="BJ134" s="4">
        <f t="shared" si="193"/>
        <v>-242.37848897024176</v>
      </c>
      <c r="BK134" s="4">
        <f t="shared" si="194"/>
        <v>9.3265113197072869E-2</v>
      </c>
      <c r="BL134" s="4">
        <f t="shared" si="195"/>
        <v>5.3428846056363444</v>
      </c>
      <c r="BM134" s="4">
        <f t="shared" si="196"/>
        <v>10.29164002710491</v>
      </c>
      <c r="BN134" s="4">
        <f t="shared" si="197"/>
        <v>-11.281902613753489</v>
      </c>
      <c r="BO134" s="4">
        <f t="shared" si="198"/>
        <v>-96.60550069527595</v>
      </c>
      <c r="BP134" s="4">
        <f t="shared" si="199"/>
        <v>-52.001468496776937</v>
      </c>
      <c r="BQ134" s="4">
        <f t="shared" si="200"/>
        <v>-13.329027154869959</v>
      </c>
      <c r="BR134" s="4">
        <f t="shared" si="201"/>
        <v>63.06141323502159</v>
      </c>
      <c r="BS134" s="4">
        <f t="shared" si="202"/>
        <v>455.89778931859809</v>
      </c>
      <c r="BT134" s="4">
        <f t="shared" si="203"/>
        <v>1587.4919541516506</v>
      </c>
      <c r="BU134" s="4">
        <f t="shared" si="204"/>
        <v>4.6769502582665377</v>
      </c>
      <c r="BV134" s="4">
        <f t="shared" si="205"/>
        <v>63.247259447832896</v>
      </c>
      <c r="BW134" s="4">
        <f t="shared" si="206"/>
        <v>-283.21856616927806</v>
      </c>
      <c r="BX134" s="4">
        <f t="shared" si="207"/>
        <v>-1368.764530064921</v>
      </c>
      <c r="BY134" s="4">
        <f t="shared" si="208"/>
        <v>-3436.9345704395196</v>
      </c>
      <c r="BZ134" s="6">
        <f t="shared" si="209"/>
        <v>-1.1427334773766233</v>
      </c>
      <c r="CA134" s="7"/>
      <c r="CB134" s="6">
        <v>-1.1427319196086501</v>
      </c>
      <c r="CC134" s="6"/>
    </row>
    <row r="135" spans="1:81" x14ac:dyDescent="0.3">
      <c r="A135" s="4">
        <v>133</v>
      </c>
      <c r="B135" s="4">
        <v>44457048</v>
      </c>
      <c r="C135" s="4">
        <v>4.2370000000000001</v>
      </c>
      <c r="D135" s="4">
        <v>3.4830000000000001</v>
      </c>
      <c r="E135" s="4">
        <v>0.432</v>
      </c>
      <c r="F135" s="4">
        <v>3.4369999999999998</v>
      </c>
      <c r="H135" s="6">
        <v>-2618.81325553337</v>
      </c>
      <c r="I135" s="4">
        <f t="shared" si="140"/>
        <v>196.65104249770002</v>
      </c>
      <c r="J135" s="4">
        <f t="shared" si="141"/>
        <v>-1714.082733063</v>
      </c>
      <c r="K135" s="4">
        <f t="shared" si="142"/>
        <v>1023.3330911999999</v>
      </c>
      <c r="L135" s="4">
        <f t="shared" si="143"/>
        <v>11106.686534439999</v>
      </c>
      <c r="M135" s="4">
        <f t="shared" si="144"/>
        <v>69.364682433118588</v>
      </c>
      <c r="N135" s="4">
        <f t="shared" si="145"/>
        <v>37.332170220340167</v>
      </c>
      <c r="O135" s="4">
        <f t="shared" si="146"/>
        <v>-125.98552840147198</v>
      </c>
      <c r="P135" s="4">
        <f t="shared" si="147"/>
        <v>-558.36499606855091</v>
      </c>
      <c r="Q135" s="4">
        <f t="shared" si="148"/>
        <v>-145.58708370921752</v>
      </c>
      <c r="R135" s="4">
        <f t="shared" si="149"/>
        <v>272.27741286441596</v>
      </c>
      <c r="S135" s="4">
        <f t="shared" si="150"/>
        <v>5065.0124177670568</v>
      </c>
      <c r="T135" s="4">
        <f t="shared" si="151"/>
        <v>-77.462159169023991</v>
      </c>
      <c r="U135" s="4">
        <f t="shared" si="152"/>
        <v>-3052.7386360430401</v>
      </c>
      <c r="V135" s="4">
        <f t="shared" si="153"/>
        <v>-17562.313842471296</v>
      </c>
      <c r="W135" s="4">
        <f t="shared" si="154"/>
        <v>-2.7525021849144102</v>
      </c>
      <c r="X135" s="4">
        <f t="shared" si="155"/>
        <v>8.2966518344711293</v>
      </c>
      <c r="Y135" s="4">
        <f t="shared" si="156"/>
        <v>4.6127766963354144</v>
      </c>
      <c r="Z135" s="4">
        <f t="shared" si="157"/>
        <v>-161.82305967972229</v>
      </c>
      <c r="AA135" s="4">
        <f t="shared" si="158"/>
        <v>11.942233759527332</v>
      </c>
      <c r="AB135" s="4">
        <f t="shared" si="159"/>
        <v>-68.698083751979269</v>
      </c>
      <c r="AC135" s="4">
        <f t="shared" si="160"/>
        <v>1.7603823467117805</v>
      </c>
      <c r="AD135" s="4">
        <f t="shared" si="161"/>
        <v>64.877567959520405</v>
      </c>
      <c r="AE135" s="4">
        <f t="shared" si="162"/>
        <v>125.24382385245188</v>
      </c>
      <c r="AF135" s="4">
        <f t="shared" si="163"/>
        <v>597.89843926185347</v>
      </c>
      <c r="AG135" s="4">
        <f t="shared" si="164"/>
        <v>-18.292156109427427</v>
      </c>
      <c r="AH135" s="4">
        <f t="shared" si="165"/>
        <v>82.810169526460115</v>
      </c>
      <c r="AI135" s="4">
        <f t="shared" si="166"/>
        <v>200.9817176004409</v>
      </c>
      <c r="AJ135" s="4">
        <f t="shared" si="167"/>
        <v>-9.5564212043728887</v>
      </c>
      <c r="AK135" s="4">
        <f t="shared" si="168"/>
        <v>-642.09383381355201</v>
      </c>
      <c r="AL135" s="4">
        <f t="shared" si="169"/>
        <v>-4797.9429814211708</v>
      </c>
      <c r="AM135" s="4">
        <f t="shared" si="170"/>
        <v>-24.268638934646781</v>
      </c>
      <c r="AN135" s="4">
        <f t="shared" si="171"/>
        <v>207.42069520393801</v>
      </c>
      <c r="AO135" s="4">
        <f t="shared" si="172"/>
        <v>3050.6161951087724</v>
      </c>
      <c r="AP135" s="4">
        <f t="shared" si="173"/>
        <v>12159.149103363059</v>
      </c>
      <c r="AQ135" s="4">
        <f t="shared" si="174"/>
        <v>2.3783853782431696E-2</v>
      </c>
      <c r="AR135" s="4">
        <f t="shared" si="175"/>
        <v>-0.36309606454923776</v>
      </c>
      <c r="AS135" s="4">
        <f t="shared" si="176"/>
        <v>1.0781185983257622E-2</v>
      </c>
      <c r="AT135" s="4">
        <f t="shared" si="177"/>
        <v>3.4703633464138126</v>
      </c>
      <c r="AU135" s="4">
        <f t="shared" si="178"/>
        <v>0.88628929206720286</v>
      </c>
      <c r="AV135" s="4">
        <f t="shared" si="179"/>
        <v>-8.0951073876967712E-3</v>
      </c>
      <c r="AW135" s="4">
        <f t="shared" si="180"/>
        <v>-10.432500597939248</v>
      </c>
      <c r="AX135" s="4">
        <f t="shared" si="181"/>
        <v>-4.3374412338907176</v>
      </c>
      <c r="AY135" s="4">
        <f t="shared" si="182"/>
        <v>10.517260872390908</v>
      </c>
      <c r="AZ135" s="4">
        <f t="shared" si="183"/>
        <v>80.255254648424199</v>
      </c>
      <c r="BA135" s="4">
        <f t="shared" si="184"/>
        <v>-0.15479136367586371</v>
      </c>
      <c r="BB135" s="4">
        <f t="shared" si="185"/>
        <v>-5.6488697161360237</v>
      </c>
      <c r="BC135" s="4">
        <f t="shared" si="186"/>
        <v>-3.3347139104399797</v>
      </c>
      <c r="BD135" s="4">
        <f t="shared" si="187"/>
        <v>13.819284431647253</v>
      </c>
      <c r="BE135" s="4">
        <f t="shared" si="188"/>
        <v>41.289239953161257</v>
      </c>
      <c r="BF135" s="4">
        <f t="shared" si="189"/>
        <v>-30.838097641408467</v>
      </c>
      <c r="BG135" s="4">
        <f t="shared" si="190"/>
        <v>-3.2777070787565172</v>
      </c>
      <c r="BH135" s="4">
        <f t="shared" si="191"/>
        <v>-58.615176473791088</v>
      </c>
      <c r="BI135" s="4">
        <f t="shared" si="192"/>
        <v>-7.9933772855242555</v>
      </c>
      <c r="BJ135" s="4">
        <f t="shared" si="193"/>
        <v>-222.9721091917863</v>
      </c>
      <c r="BK135" s="4">
        <f t="shared" si="194"/>
        <v>8.940513547357247E-2</v>
      </c>
      <c r="BL135" s="4">
        <f t="shared" si="195"/>
        <v>3.9717653200714733</v>
      </c>
      <c r="BM135" s="4">
        <f t="shared" si="196"/>
        <v>9.7243515919550205</v>
      </c>
      <c r="BN135" s="4">
        <f t="shared" si="197"/>
        <v>-6.5036127294815991</v>
      </c>
      <c r="BO135" s="4">
        <f t="shared" si="198"/>
        <v>-70.785199770558279</v>
      </c>
      <c r="BP135" s="4">
        <f t="shared" si="199"/>
        <v>-48.431118030371884</v>
      </c>
      <c r="BQ135" s="4">
        <f t="shared" si="200"/>
        <v>-5.9584777178469617</v>
      </c>
      <c r="BR135" s="4">
        <f t="shared" si="201"/>
        <v>35.831818249643106</v>
      </c>
      <c r="BS135" s="4">
        <f t="shared" si="202"/>
        <v>329.26147094094091</v>
      </c>
      <c r="BT135" s="4">
        <f t="shared" si="203"/>
        <v>1457.3143488192363</v>
      </c>
      <c r="BU135" s="4">
        <f t="shared" si="204"/>
        <v>1.6213028974892676</v>
      </c>
      <c r="BV135" s="4">
        <f t="shared" si="205"/>
        <v>27.868359240901501</v>
      </c>
      <c r="BW135" s="4">
        <f t="shared" si="206"/>
        <v>-158.62063659397387</v>
      </c>
      <c r="BX135" s="4">
        <f t="shared" si="207"/>
        <v>-974.39487623931711</v>
      </c>
      <c r="BY135" s="4">
        <f t="shared" si="208"/>
        <v>-3109.8954866217441</v>
      </c>
      <c r="BZ135" s="6">
        <f t="shared" si="209"/>
        <v>-1.1191072115811949</v>
      </c>
      <c r="CA135" s="7"/>
      <c r="CB135" s="6">
        <v>-1.1191049652825309</v>
      </c>
      <c r="CC135" s="6"/>
    </row>
    <row r="136" spans="1:81" x14ac:dyDescent="0.3">
      <c r="A136" s="4">
        <v>134</v>
      </c>
      <c r="B136" s="4">
        <v>35538938</v>
      </c>
      <c r="C136" s="4">
        <v>2.8559999999999999</v>
      </c>
      <c r="D136" s="4">
        <v>4.6820000000000004</v>
      </c>
      <c r="E136" s="4">
        <v>0.63700000000000001</v>
      </c>
      <c r="F136" s="4">
        <v>3.9</v>
      </c>
      <c r="H136" s="6">
        <v>-2618.81325553337</v>
      </c>
      <c r="I136" s="4">
        <f t="shared" si="140"/>
        <v>132.55496279759998</v>
      </c>
      <c r="J136" s="4">
        <f t="shared" si="141"/>
        <v>-2304.144518002</v>
      </c>
      <c r="K136" s="4">
        <f t="shared" si="142"/>
        <v>1508.9425441999999</v>
      </c>
      <c r="L136" s="4">
        <f t="shared" si="143"/>
        <v>12602.873868000001</v>
      </c>
      <c r="M136" s="4">
        <f t="shared" si="144"/>
        <v>31.516492649483517</v>
      </c>
      <c r="N136" s="4">
        <f t="shared" si="145"/>
        <v>33.826799666079836</v>
      </c>
      <c r="O136" s="4">
        <f t="shared" si="146"/>
        <v>-125.220688241376</v>
      </c>
      <c r="P136" s="4">
        <f t="shared" si="147"/>
        <v>-427.07386809359991</v>
      </c>
      <c r="Q136" s="4">
        <f t="shared" si="148"/>
        <v>-263.07447747623002</v>
      </c>
      <c r="R136" s="4">
        <f t="shared" si="149"/>
        <v>539.69107461032399</v>
      </c>
      <c r="S136" s="4">
        <f t="shared" si="150"/>
        <v>7725.8011205466009</v>
      </c>
      <c r="T136" s="4">
        <f t="shared" si="151"/>
        <v>-168.42283341829398</v>
      </c>
      <c r="U136" s="4">
        <f t="shared" si="152"/>
        <v>-5107.7588346330003</v>
      </c>
      <c r="V136" s="4">
        <f t="shared" si="153"/>
        <v>-22612.672016999997</v>
      </c>
      <c r="W136" s="4">
        <f t="shared" si="154"/>
        <v>-0.84299867049404142</v>
      </c>
      <c r="X136" s="4">
        <f t="shared" si="155"/>
        <v>5.0673427274446263</v>
      </c>
      <c r="Y136" s="4">
        <f t="shared" si="156"/>
        <v>3.0904206332999125</v>
      </c>
      <c r="Z136" s="4">
        <f t="shared" si="157"/>
        <v>-83.430522118367406</v>
      </c>
      <c r="AA136" s="4">
        <f t="shared" si="158"/>
        <v>14.545919400466895</v>
      </c>
      <c r="AB136" s="4">
        <f t="shared" si="159"/>
        <v>-91.786325212246396</v>
      </c>
      <c r="AC136" s="4">
        <f t="shared" si="160"/>
        <v>1.8099632364029801</v>
      </c>
      <c r="AD136" s="4">
        <f t="shared" si="161"/>
        <v>95.083612052341351</v>
      </c>
      <c r="AE136" s="4">
        <f t="shared" si="162"/>
        <v>141.25271959608267</v>
      </c>
      <c r="AF136" s="4">
        <f t="shared" si="163"/>
        <v>518.91629501930402</v>
      </c>
      <c r="AG136" s="4">
        <f t="shared" si="164"/>
        <v>-44.432290699539649</v>
      </c>
      <c r="AH136" s="4">
        <f t="shared" si="165"/>
        <v>220.64557848296914</v>
      </c>
      <c r="AI136" s="4">
        <f t="shared" si="166"/>
        <v>412.09514507986739</v>
      </c>
      <c r="AJ136" s="4">
        <f t="shared" si="167"/>
        <v>-27.930878087011394</v>
      </c>
      <c r="AK136" s="4">
        <f t="shared" si="168"/>
        <v>-1444.1662607939111</v>
      </c>
      <c r="AL136" s="4">
        <f t="shared" si="169"/>
        <v>-8304.3026225546419</v>
      </c>
      <c r="AM136" s="4">
        <f t="shared" si="170"/>
        <v>-77.805890368479368</v>
      </c>
      <c r="AN136" s="4">
        <f t="shared" si="171"/>
        <v>511.73901807092608</v>
      </c>
      <c r="AO136" s="4">
        <f t="shared" si="172"/>
        <v>5791.7980027580397</v>
      </c>
      <c r="AP136" s="4">
        <f t="shared" si="173"/>
        <v>17764.721719992001</v>
      </c>
      <c r="AQ136" s="4">
        <f t="shared" si="174"/>
        <v>4.9099965014980911E-3</v>
      </c>
      <c r="AR136" s="4">
        <f t="shared" si="175"/>
        <v>-0.1494853711298694</v>
      </c>
      <c r="AS136" s="4">
        <f t="shared" si="176"/>
        <v>4.8687944597734043E-3</v>
      </c>
      <c r="AT136" s="4">
        <f t="shared" si="177"/>
        <v>1.206033134968364</v>
      </c>
      <c r="AU136" s="4">
        <f t="shared" si="178"/>
        <v>0.72766393443844413</v>
      </c>
      <c r="AV136" s="4">
        <f t="shared" si="179"/>
        <v>-7.2904731190671541E-3</v>
      </c>
      <c r="AW136" s="4">
        <f t="shared" si="180"/>
        <v>-7.2302099134196656</v>
      </c>
      <c r="AX136" s="4">
        <f t="shared" si="181"/>
        <v>-4.284937118389978</v>
      </c>
      <c r="AY136" s="4">
        <f t="shared" si="182"/>
        <v>7.9954495078101271</v>
      </c>
      <c r="AZ136" s="4">
        <f t="shared" si="183"/>
        <v>46.950811720820532</v>
      </c>
      <c r="BA136" s="4">
        <f t="shared" si="184"/>
        <v>-0.25344298215811067</v>
      </c>
      <c r="BB136" s="4">
        <f t="shared" si="185"/>
        <v>-10.145485928296178</v>
      </c>
      <c r="BC136" s="4">
        <f t="shared" si="186"/>
        <v>-4.6089210090726231</v>
      </c>
      <c r="BD136" s="4">
        <f t="shared" si="187"/>
        <v>27.225420782366822</v>
      </c>
      <c r="BE136" s="4">
        <f t="shared" si="188"/>
        <v>62.597259883196806</v>
      </c>
      <c r="BF136" s="4">
        <f t="shared" si="189"/>
        <v>-35.977866252983269</v>
      </c>
      <c r="BG136" s="4">
        <f t="shared" si="190"/>
        <v>-7.0833211832933607</v>
      </c>
      <c r="BH136" s="4">
        <f t="shared" si="191"/>
        <v>-97.477921870075761</v>
      </c>
      <c r="BI136" s="4">
        <f t="shared" si="192"/>
        <v>-10.229534855088035</v>
      </c>
      <c r="BJ136" s="4">
        <f t="shared" si="193"/>
        <v>-219.58643391545951</v>
      </c>
      <c r="BK136" s="4">
        <f t="shared" si="194"/>
        <v>0.29192696030726173</v>
      </c>
      <c r="BL136" s="4">
        <f t="shared" si="195"/>
        <v>14.225681126953228</v>
      </c>
      <c r="BM136" s="4">
        <f t="shared" si="196"/>
        <v>26.802760910388145</v>
      </c>
      <c r="BN136" s="4">
        <f t="shared" si="197"/>
        <v>-25.55182434563471</v>
      </c>
      <c r="BO136" s="4">
        <f t="shared" si="198"/>
        <v>-214.01247635016276</v>
      </c>
      <c r="BP136" s="4">
        <f t="shared" si="199"/>
        <v>-112.68095378816732</v>
      </c>
      <c r="BQ136" s="4">
        <f t="shared" si="200"/>
        <v>-25.679130305841067</v>
      </c>
      <c r="BR136" s="4">
        <f t="shared" si="201"/>
        <v>118.83468721195021</v>
      </c>
      <c r="BS136" s="4">
        <f t="shared" si="202"/>
        <v>840.31996932736729</v>
      </c>
      <c r="BT136" s="4">
        <f t="shared" si="203"/>
        <v>2862.1105240750312</v>
      </c>
      <c r="BU136" s="4">
        <f t="shared" si="204"/>
        <v>7.6645542219303975</v>
      </c>
      <c r="BV136" s="4">
        <f t="shared" si="205"/>
        <v>101.38262497465229</v>
      </c>
      <c r="BW136" s="4">
        <f t="shared" si="206"/>
        <v>-444.05954471834366</v>
      </c>
      <c r="BX136" s="4">
        <f t="shared" si="207"/>
        <v>-2099.1617381226492</v>
      </c>
      <c r="BY136" s="4">
        <f t="shared" si="208"/>
        <v>-5155.68165793551</v>
      </c>
      <c r="BZ136" s="6">
        <f t="shared" si="209"/>
        <v>-1.4227112589715034</v>
      </c>
      <c r="CA136" s="7"/>
      <c r="CB136" s="6">
        <v>-1.422712484516069</v>
      </c>
      <c r="CC136" s="6"/>
    </row>
    <row r="137" spans="1:81" x14ac:dyDescent="0.3">
      <c r="A137" s="4">
        <v>135</v>
      </c>
      <c r="B137" s="4">
        <v>127033499</v>
      </c>
      <c r="C137" s="4">
        <v>6.6689999999999996</v>
      </c>
      <c r="D137" s="4">
        <v>7.9249999999999998</v>
      </c>
      <c r="E137" s="4">
        <v>0.42699999999999999</v>
      </c>
      <c r="F137" s="4">
        <v>3.5270000000000001</v>
      </c>
      <c r="H137" s="6">
        <v>-2618.81325553337</v>
      </c>
      <c r="I137" s="4">
        <f t="shared" si="140"/>
        <v>309.52697720489999</v>
      </c>
      <c r="J137" s="4">
        <f t="shared" si="141"/>
        <v>-3900.1164684249998</v>
      </c>
      <c r="K137" s="4">
        <f t="shared" si="142"/>
        <v>1011.4889582</v>
      </c>
      <c r="L137" s="4">
        <f t="shared" si="143"/>
        <v>11397.52208524</v>
      </c>
      <c r="M137" s="4">
        <f t="shared" si="144"/>
        <v>171.84737759542</v>
      </c>
      <c r="N137" s="4">
        <f t="shared" si="145"/>
        <v>133.69996304621773</v>
      </c>
      <c r="O137" s="4">
        <f t="shared" si="146"/>
        <v>-196.00495183760398</v>
      </c>
      <c r="P137" s="4">
        <f t="shared" si="147"/>
        <v>-901.87503537467694</v>
      </c>
      <c r="Q137" s="4">
        <f t="shared" si="148"/>
        <v>-753.72763638593744</v>
      </c>
      <c r="R137" s="4">
        <f t="shared" si="149"/>
        <v>612.35256310934994</v>
      </c>
      <c r="S137" s="4">
        <f t="shared" si="150"/>
        <v>11826.391136591326</v>
      </c>
      <c r="T137" s="4">
        <f t="shared" si="151"/>
        <v>-75.679430400853988</v>
      </c>
      <c r="U137" s="4">
        <f t="shared" si="152"/>
        <v>-3096.4186813039905</v>
      </c>
      <c r="V137" s="4">
        <f t="shared" si="153"/>
        <v>-18494.116492923302</v>
      </c>
      <c r="W137" s="4">
        <f t="shared" si="154"/>
        <v>-10.733328777485875</v>
      </c>
      <c r="X137" s="4">
        <f t="shared" si="155"/>
        <v>46.768470675632798</v>
      </c>
      <c r="Y137" s="4">
        <f t="shared" si="156"/>
        <v>11.295645810186983</v>
      </c>
      <c r="Z137" s="4">
        <f t="shared" si="157"/>
        <v>-411.40620984207703</v>
      </c>
      <c r="AA137" s="4">
        <f t="shared" si="158"/>
        <v>97.314916462351292</v>
      </c>
      <c r="AB137" s="4">
        <f t="shared" si="159"/>
        <v>-243.18500988947048</v>
      </c>
      <c r="AC137" s="4">
        <f t="shared" si="160"/>
        <v>6.4696529142866748</v>
      </c>
      <c r="AD137" s="4">
        <f t="shared" si="161"/>
        <v>99.766576844577926</v>
      </c>
      <c r="AE137" s="4">
        <f t="shared" si="162"/>
        <v>199.95332385117374</v>
      </c>
      <c r="AF137" s="4">
        <f t="shared" si="163"/>
        <v>991.01796695830353</v>
      </c>
      <c r="AG137" s="4">
        <f t="shared" si="164"/>
        <v>-215.47767872966983</v>
      </c>
      <c r="AH137" s="4">
        <f t="shared" si="165"/>
        <v>423.7594485718484</v>
      </c>
      <c r="AI137" s="4">
        <f t="shared" si="166"/>
        <v>1067.7610482095763</v>
      </c>
      <c r="AJ137" s="4">
        <f t="shared" si="167"/>
        <v>-21.24365971118846</v>
      </c>
      <c r="AK137" s="4">
        <f t="shared" si="168"/>
        <v>-1481.8844862953576</v>
      </c>
      <c r="AL137" s="4">
        <f t="shared" si="169"/>
        <v>-11496.158265370663</v>
      </c>
      <c r="AM137" s="4">
        <f t="shared" si="170"/>
        <v>-23.4356932548198</v>
      </c>
      <c r="AN137" s="4">
        <f t="shared" si="171"/>
        <v>207.95351687908487</v>
      </c>
      <c r="AO137" s="4">
        <f t="shared" si="172"/>
        <v>3175.2911634191851</v>
      </c>
      <c r="AP137" s="4">
        <f t="shared" si="173"/>
        <v>13139.564365494067</v>
      </c>
      <c r="AQ137" s="4">
        <f t="shared" si="174"/>
        <v>0.14597928761177167</v>
      </c>
      <c r="AR137" s="4">
        <f t="shared" si="175"/>
        <v>-3.2216184106740715</v>
      </c>
      <c r="AS137" s="4">
        <f t="shared" si="176"/>
        <v>4.1554439278314252E-2</v>
      </c>
      <c r="AT137" s="4">
        <f t="shared" si="177"/>
        <v>13.886974419409539</v>
      </c>
      <c r="AU137" s="4">
        <f t="shared" si="178"/>
        <v>11.367673777784981</v>
      </c>
      <c r="AV137" s="4">
        <f t="shared" si="179"/>
        <v>-4.5104206395227234E-2</v>
      </c>
      <c r="AW137" s="4">
        <f t="shared" si="180"/>
        <v>-60.348245592598751</v>
      </c>
      <c r="AX137" s="4">
        <f t="shared" si="181"/>
        <v>-10.498478593198278</v>
      </c>
      <c r="AY137" s="4">
        <f t="shared" si="182"/>
        <v>26.428785670510241</v>
      </c>
      <c r="AZ137" s="4">
        <f t="shared" si="183"/>
        <v>209.37741757414886</v>
      </c>
      <c r="BA137" s="4">
        <f t="shared" si="184"/>
        <v>-2.8700295547871368</v>
      </c>
      <c r="BB137" s="4">
        <f t="shared" si="185"/>
        <v>-45.498757079669076</v>
      </c>
      <c r="BC137" s="4">
        <f t="shared" si="186"/>
        <v>-27.885494796424382</v>
      </c>
      <c r="BD137" s="4">
        <f t="shared" si="187"/>
        <v>48.35282602960595</v>
      </c>
      <c r="BE137" s="4">
        <f t="shared" si="188"/>
        <v>149.98747505195811</v>
      </c>
      <c r="BF137" s="4">
        <f t="shared" si="189"/>
        <v>-116.30208058448169</v>
      </c>
      <c r="BG137" s="4">
        <f t="shared" si="190"/>
        <v>-4.9820120898505609</v>
      </c>
      <c r="BH137" s="4">
        <f t="shared" si="191"/>
        <v>-92.496758680056317</v>
      </c>
      <c r="BI137" s="4">
        <f t="shared" si="192"/>
        <v>-13.095694908871124</v>
      </c>
      <c r="BJ137" s="4">
        <f t="shared" si="193"/>
        <v>-379.25435635031079</v>
      </c>
      <c r="BK137" s="4">
        <f t="shared" si="194"/>
        <v>2.3963246286869411</v>
      </c>
      <c r="BL137" s="4">
        <f t="shared" si="195"/>
        <v>46.245033342058299</v>
      </c>
      <c r="BM137" s="4">
        <f t="shared" si="196"/>
        <v>117.550361639741</v>
      </c>
      <c r="BN137" s="4">
        <f t="shared" si="197"/>
        <v>-32.8953507686604</v>
      </c>
      <c r="BO137" s="4">
        <f t="shared" si="198"/>
        <v>-371.70988507847528</v>
      </c>
      <c r="BP137" s="4">
        <f t="shared" si="199"/>
        <v>-264.03891700291979</v>
      </c>
      <c r="BQ137" s="4">
        <f t="shared" si="200"/>
        <v>-13.092226214411623</v>
      </c>
      <c r="BR137" s="4">
        <f t="shared" si="201"/>
        <v>81.73890715977268</v>
      </c>
      <c r="BS137" s="4">
        <f t="shared" si="202"/>
        <v>779.79903555367298</v>
      </c>
      <c r="BT137" s="4">
        <f t="shared" si="203"/>
        <v>3583.2476113813841</v>
      </c>
      <c r="BU137" s="4">
        <f t="shared" si="204"/>
        <v>1.54753568277971</v>
      </c>
      <c r="BV137" s="4">
        <f t="shared" si="205"/>
        <v>27.616568379765909</v>
      </c>
      <c r="BW137" s="4">
        <f t="shared" si="206"/>
        <v>-163.19235135197195</v>
      </c>
      <c r="BX137" s="4">
        <f t="shared" si="207"/>
        <v>-1040.7751215466108</v>
      </c>
      <c r="BY137" s="4">
        <f t="shared" si="208"/>
        <v>-3448.6530467717239</v>
      </c>
      <c r="BZ137" s="6">
        <f t="shared" si="209"/>
        <v>-1.6565925419008636</v>
      </c>
      <c r="CA137" s="7"/>
      <c r="CB137" s="6">
        <v>-1.656597372855231</v>
      </c>
      <c r="CC137" s="6"/>
    </row>
    <row r="138" spans="1:81" x14ac:dyDescent="0.3">
      <c r="A138" s="4">
        <v>136</v>
      </c>
      <c r="B138" s="4">
        <v>46225045</v>
      </c>
      <c r="C138" s="4">
        <v>3.0449999999999999</v>
      </c>
      <c r="D138" s="4">
        <v>2.4750000000000001</v>
      </c>
      <c r="E138" s="4">
        <v>0.57799999999999996</v>
      </c>
      <c r="F138" s="4">
        <v>3.379</v>
      </c>
      <c r="H138" s="6">
        <v>-2618.81325553337</v>
      </c>
      <c r="I138" s="4">
        <f t="shared" si="140"/>
        <v>141.32698239449999</v>
      </c>
      <c r="J138" s="4">
        <f t="shared" si="141"/>
        <v>-1218.0174459750001</v>
      </c>
      <c r="K138" s="4">
        <f t="shared" si="142"/>
        <v>1369.1817747999999</v>
      </c>
      <c r="L138" s="4">
        <f t="shared" si="143"/>
        <v>10919.259179479999</v>
      </c>
      <c r="M138" s="4">
        <f t="shared" si="144"/>
        <v>35.825814119560498</v>
      </c>
      <c r="N138" s="4">
        <f t="shared" si="145"/>
        <v>19.06486784519625</v>
      </c>
      <c r="O138" s="4">
        <f t="shared" si="146"/>
        <v>-121.14167838107998</v>
      </c>
      <c r="P138" s="4">
        <f t="shared" si="147"/>
        <v>-394.50787526734496</v>
      </c>
      <c r="Q138" s="4">
        <f t="shared" si="148"/>
        <v>-73.51336528593751</v>
      </c>
      <c r="R138" s="4">
        <f t="shared" si="149"/>
        <v>258.8674441023</v>
      </c>
      <c r="S138" s="4">
        <f t="shared" si="150"/>
        <v>3538.4323988301753</v>
      </c>
      <c r="T138" s="4">
        <f t="shared" si="151"/>
        <v>-138.66848842498396</v>
      </c>
      <c r="U138" s="4">
        <f t="shared" si="152"/>
        <v>-4015.5253733792206</v>
      </c>
      <c r="V138" s="4">
        <f t="shared" si="153"/>
        <v>-16974.580614125698</v>
      </c>
      <c r="W138" s="4">
        <f t="shared" si="154"/>
        <v>-1.0216783047824718</v>
      </c>
      <c r="X138" s="4">
        <f t="shared" si="155"/>
        <v>3.0449646857872068</v>
      </c>
      <c r="Y138" s="4">
        <f t="shared" si="156"/>
        <v>3.1876027185601772</v>
      </c>
      <c r="Z138" s="4">
        <f t="shared" si="157"/>
        <v>-82.168760152620422</v>
      </c>
      <c r="AA138" s="4">
        <f t="shared" si="158"/>
        <v>4.3336901655323716</v>
      </c>
      <c r="AB138" s="4">
        <f t="shared" si="159"/>
        <v>-46.939588338691117</v>
      </c>
      <c r="AC138" s="4">
        <f t="shared" si="160"/>
        <v>0.88382488657672442</v>
      </c>
      <c r="AD138" s="4">
        <f t="shared" si="161"/>
        <v>83.466379851476049</v>
      </c>
      <c r="AE138" s="4">
        <f t="shared" si="162"/>
        <v>118.39623796490737</v>
      </c>
      <c r="AF138" s="4">
        <f t="shared" si="163"/>
        <v>415.31113190295309</v>
      </c>
      <c r="AG138" s="4">
        <f t="shared" si="164"/>
        <v>-6.5634183289681882</v>
      </c>
      <c r="AH138" s="4">
        <f t="shared" si="165"/>
        <v>55.946281080170245</v>
      </c>
      <c r="AI138" s="4">
        <f t="shared" si="166"/>
        <v>99.771998305669598</v>
      </c>
      <c r="AJ138" s="4">
        <f t="shared" si="167"/>
        <v>-12.156405973517519</v>
      </c>
      <c r="AK138" s="4">
        <f t="shared" si="168"/>
        <v>-600.16819835794138</v>
      </c>
      <c r="AL138" s="4">
        <f t="shared" si="169"/>
        <v>-3295.2937192943427</v>
      </c>
      <c r="AM138" s="4">
        <f t="shared" si="170"/>
        <v>-58.126971365391761</v>
      </c>
      <c r="AN138" s="4">
        <f t="shared" si="171"/>
        <v>365.04712160943865</v>
      </c>
      <c r="AO138" s="4">
        <f t="shared" si="172"/>
        <v>3945.0179389669488</v>
      </c>
      <c r="AP138" s="4">
        <f t="shared" si="173"/>
        <v>11553.914862025369</v>
      </c>
      <c r="AQ138" s="4">
        <f t="shared" si="174"/>
        <v>6.3445022850582827E-3</v>
      </c>
      <c r="AR138" s="4">
        <f t="shared" si="175"/>
        <v>-9.577006220654076E-2</v>
      </c>
      <c r="AS138" s="4">
        <f t="shared" si="176"/>
        <v>5.354231299464508E-3</v>
      </c>
      <c r="AT138" s="4">
        <f t="shared" si="177"/>
        <v>1.2663976800727703</v>
      </c>
      <c r="AU138" s="4">
        <f t="shared" si="178"/>
        <v>0.23114080733192574</v>
      </c>
      <c r="AV138" s="4">
        <f t="shared" si="179"/>
        <v>-3.975082080481052E-3</v>
      </c>
      <c r="AW138" s="4">
        <f t="shared" si="180"/>
        <v>-3.76423278278796</v>
      </c>
      <c r="AX138" s="4">
        <f t="shared" si="181"/>
        <v>-4.0103239223223586</v>
      </c>
      <c r="AY138" s="4">
        <f t="shared" si="182"/>
        <v>7.1451781842706081</v>
      </c>
      <c r="AZ138" s="4">
        <f t="shared" si="183"/>
        <v>40.063460807800922</v>
      </c>
      <c r="BA138" s="4">
        <f t="shared" si="184"/>
        <v>-3.9915423888444074E-2</v>
      </c>
      <c r="BB138" s="4">
        <f t="shared" si="185"/>
        <v>-2.7426976891472554</v>
      </c>
      <c r="BC138" s="4">
        <f t="shared" si="186"/>
        <v>-1.1897056699655324</v>
      </c>
      <c r="BD138" s="4">
        <f t="shared" si="187"/>
        <v>12.633517918426682</v>
      </c>
      <c r="BE138" s="4">
        <f t="shared" si="188"/>
        <v>27.735768357234868</v>
      </c>
      <c r="BF138" s="4">
        <f t="shared" si="189"/>
        <v>-15.221430191097321</v>
      </c>
      <c r="BG138" s="4">
        <f t="shared" si="190"/>
        <v>-5.6419761615083193</v>
      </c>
      <c r="BH138" s="4">
        <f t="shared" si="191"/>
        <v>-74.137127113060487</v>
      </c>
      <c r="BI138" s="4">
        <f t="shared" si="192"/>
        <v>-7.4288323221348556</v>
      </c>
      <c r="BJ138" s="4">
        <f t="shared" si="193"/>
        <v>-152.26684667435069</v>
      </c>
      <c r="BK138" s="4">
        <f t="shared" si="194"/>
        <v>2.2795513558611091E-2</v>
      </c>
      <c r="BL138" s="4">
        <f t="shared" si="195"/>
        <v>1.9067460590316321</v>
      </c>
      <c r="BM138" s="4">
        <f t="shared" si="196"/>
        <v>3.4303189208920624</v>
      </c>
      <c r="BN138" s="4">
        <f t="shared" si="197"/>
        <v>-5.8787678884055312</v>
      </c>
      <c r="BO138" s="4">
        <f t="shared" si="198"/>
        <v>-47.015241464757437</v>
      </c>
      <c r="BP138" s="4">
        <f t="shared" si="199"/>
        <v>-23.636614476852014</v>
      </c>
      <c r="BQ138" s="4">
        <f t="shared" si="200"/>
        <v>-10.141199427524988</v>
      </c>
      <c r="BR138" s="4">
        <f t="shared" si="201"/>
        <v>44.811287103290773</v>
      </c>
      <c r="BS138" s="4">
        <f t="shared" si="202"/>
        <v>302.56873791021837</v>
      </c>
      <c r="BT138" s="4">
        <f t="shared" si="203"/>
        <v>984.01325539203083</v>
      </c>
      <c r="BU138" s="4">
        <f t="shared" si="204"/>
        <v>5.1956576292594541</v>
      </c>
      <c r="BV138" s="4">
        <f t="shared" si="205"/>
        <v>65.622433989646424</v>
      </c>
      <c r="BW138" s="4">
        <f t="shared" si="206"/>
        <v>-274.45123600591012</v>
      </c>
      <c r="BX138" s="4">
        <f t="shared" si="207"/>
        <v>-1238.8110259752257</v>
      </c>
      <c r="BY138" s="4">
        <f t="shared" si="208"/>
        <v>-2905.2294145625756</v>
      </c>
      <c r="BZ138" s="6">
        <f t="shared" si="209"/>
        <v>-1.9742786429214902</v>
      </c>
      <c r="CA138" s="7"/>
      <c r="CB138" s="6">
        <v>-1.9742752552679119</v>
      </c>
      <c r="CC138" s="6"/>
    </row>
    <row r="139" spans="1:81" x14ac:dyDescent="0.3">
      <c r="A139" s="4">
        <v>137</v>
      </c>
      <c r="B139" s="4">
        <v>5280343</v>
      </c>
      <c r="C139" s="4">
        <v>2.375</v>
      </c>
      <c r="D139" s="4">
        <v>3.173</v>
      </c>
      <c r="E139" s="4">
        <v>0.61799999999999999</v>
      </c>
      <c r="F139" s="4">
        <v>3.5830000000000002</v>
      </c>
      <c r="H139" s="6">
        <v>-2618.81325553337</v>
      </c>
      <c r="I139" s="4">
        <f t="shared" si="140"/>
        <v>110.23040498749999</v>
      </c>
      <c r="J139" s="4">
        <f t="shared" si="141"/>
        <v>-1561.522972153</v>
      </c>
      <c r="K139" s="4">
        <f t="shared" si="142"/>
        <v>1463.9348387999999</v>
      </c>
      <c r="L139" s="4">
        <f t="shared" si="143"/>
        <v>11578.486427960001</v>
      </c>
      <c r="M139" s="4">
        <f t="shared" si="144"/>
        <v>21.7945899378125</v>
      </c>
      <c r="N139" s="4">
        <f t="shared" si="145"/>
        <v>19.06360298856125</v>
      </c>
      <c r="O139" s="4">
        <f t="shared" si="146"/>
        <v>-101.02539101699999</v>
      </c>
      <c r="P139" s="4">
        <f t="shared" si="147"/>
        <v>-326.28011786037496</v>
      </c>
      <c r="Q139" s="4">
        <f t="shared" si="148"/>
        <v>-120.8247880420175</v>
      </c>
      <c r="R139" s="4">
        <f t="shared" si="149"/>
        <v>354.840302879604</v>
      </c>
      <c r="S139" s="4">
        <f t="shared" si="150"/>
        <v>4810.213890707254</v>
      </c>
      <c r="T139" s="4">
        <f t="shared" si="151"/>
        <v>-158.52547195682399</v>
      </c>
      <c r="U139" s="4">
        <f t="shared" si="152"/>
        <v>-4552.6223648411406</v>
      </c>
      <c r="V139" s="4">
        <f t="shared" si="153"/>
        <v>-19086.060049155301</v>
      </c>
      <c r="W139" s="4">
        <f t="shared" si="154"/>
        <v>-0.48477824516601564</v>
      </c>
      <c r="X139" s="4">
        <f t="shared" si="155"/>
        <v>2.3748148887780784</v>
      </c>
      <c r="Y139" s="4">
        <f t="shared" si="156"/>
        <v>2.0733730976517188</v>
      </c>
      <c r="Z139" s="4">
        <f t="shared" si="157"/>
        <v>-53.00513980278172</v>
      </c>
      <c r="AA139" s="4">
        <f t="shared" si="158"/>
        <v>5.5555097373495119</v>
      </c>
      <c r="AB139" s="4">
        <f t="shared" si="159"/>
        <v>-50.184673038874124</v>
      </c>
      <c r="AC139" s="4">
        <f t="shared" si="160"/>
        <v>0.9371217730902317</v>
      </c>
      <c r="AD139" s="4">
        <f t="shared" si="161"/>
        <v>74.423341923336906</v>
      </c>
      <c r="AE139" s="4">
        <f t="shared" si="162"/>
        <v>104.69681568422799</v>
      </c>
      <c r="AF139" s="4">
        <f t="shared" si="163"/>
        <v>364.22279416147927</v>
      </c>
      <c r="AG139" s="4">
        <f t="shared" si="164"/>
        <v>-13.829761545679139</v>
      </c>
      <c r="AH139" s="4">
        <f t="shared" si="165"/>
        <v>98.315410589243299</v>
      </c>
      <c r="AI139" s="4">
        <f t="shared" si="166"/>
        <v>173.88296006779302</v>
      </c>
      <c r="AJ139" s="4">
        <f t="shared" si="167"/>
        <v>-17.816456730750538</v>
      </c>
      <c r="AK139" s="4">
        <f t="shared" si="168"/>
        <v>-872.34263997737844</v>
      </c>
      <c r="AL139" s="4">
        <f t="shared" si="169"/>
        <v>-4750.138058882867</v>
      </c>
      <c r="AM139" s="4">
        <f t="shared" si="170"/>
        <v>-71.049267557066017</v>
      </c>
      <c r="AN139" s="4">
        <f t="shared" si="171"/>
        <v>442.51583703223093</v>
      </c>
      <c r="AO139" s="4">
        <f t="shared" si="172"/>
        <v>4742.7130791168101</v>
      </c>
      <c r="AP139" s="4">
        <f t="shared" si="173"/>
        <v>13775.425176945932</v>
      </c>
      <c r="AQ139" s="4">
        <f t="shared" si="174"/>
        <v>2.3480255918168942E-3</v>
      </c>
      <c r="AR139" s="4">
        <f t="shared" si="175"/>
        <v>-5.825773414357268E-2</v>
      </c>
      <c r="AS139" s="4">
        <f t="shared" si="176"/>
        <v>2.7163561818655197E-3</v>
      </c>
      <c r="AT139" s="4">
        <f t="shared" si="177"/>
        <v>0.63717345364572309</v>
      </c>
      <c r="AU139" s="4">
        <f t="shared" si="178"/>
        <v>0.23111013832463428</v>
      </c>
      <c r="AV139" s="4">
        <f t="shared" si="179"/>
        <v>-3.3147764155907842E-3</v>
      </c>
      <c r="AW139" s="4">
        <f t="shared" si="180"/>
        <v>-3.11302488136154</v>
      </c>
      <c r="AX139" s="4">
        <f t="shared" si="181"/>
        <v>-2.7890311205742297</v>
      </c>
      <c r="AY139" s="4">
        <f t="shared" si="182"/>
        <v>4.9281617158678515</v>
      </c>
      <c r="AZ139" s="4">
        <f t="shared" si="183"/>
        <v>27.404275762509155</v>
      </c>
      <c r="BA139" s="4">
        <f t="shared" si="184"/>
        <v>-6.5599672193382488E-2</v>
      </c>
      <c r="BB139" s="4">
        <f t="shared" si="185"/>
        <v>-3.7592796341871066</v>
      </c>
      <c r="BC139" s="4">
        <f t="shared" si="186"/>
        <v>-1.6172017492600839</v>
      </c>
      <c r="BD139" s="4">
        <f t="shared" si="187"/>
        <v>14.441648149761349</v>
      </c>
      <c r="BE139" s="4">
        <f t="shared" si="188"/>
        <v>31.443482530254439</v>
      </c>
      <c r="BF139" s="4">
        <f t="shared" si="189"/>
        <v>-17.11369859066486</v>
      </c>
      <c r="BG139" s="4">
        <f t="shared" si="190"/>
        <v>-5.3788505023246982</v>
      </c>
      <c r="BH139" s="4">
        <f t="shared" si="191"/>
        <v>-70.095793981125141</v>
      </c>
      <c r="BI139" s="4">
        <f t="shared" si="192"/>
        <v>-6.9658600094967538</v>
      </c>
      <c r="BJ139" s="4">
        <f t="shared" si="193"/>
        <v>-141.59813070785859</v>
      </c>
      <c r="BK139" s="4">
        <f t="shared" si="194"/>
        <v>6.1578464625174738E-2</v>
      </c>
      <c r="BL139" s="4">
        <f t="shared" si="195"/>
        <v>4.295741115928954</v>
      </c>
      <c r="BM139" s="4">
        <f t="shared" si="196"/>
        <v>7.6643922257414747</v>
      </c>
      <c r="BN139" s="4">
        <f t="shared" si="197"/>
        <v>-11.045803785212039</v>
      </c>
      <c r="BO139" s="4">
        <f t="shared" si="198"/>
        <v>-87.608785863762947</v>
      </c>
      <c r="BP139" s="4">
        <f t="shared" si="199"/>
        <v>-43.68096680409932</v>
      </c>
      <c r="BQ139" s="4">
        <f t="shared" si="200"/>
        <v>-15.891544269900349</v>
      </c>
      <c r="BR139" s="4">
        <f t="shared" si="201"/>
        <v>69.640547497897344</v>
      </c>
      <c r="BS139" s="4">
        <f t="shared" si="202"/>
        <v>466.33369006362625</v>
      </c>
      <c r="BT139" s="4">
        <f t="shared" si="203"/>
        <v>1504.0825293476571</v>
      </c>
      <c r="BU139" s="4">
        <f t="shared" si="204"/>
        <v>6.7902079061623972</v>
      </c>
      <c r="BV139" s="4">
        <f t="shared" si="205"/>
        <v>85.053631469444994</v>
      </c>
      <c r="BW139" s="4">
        <f t="shared" si="206"/>
        <v>-352.77978978850587</v>
      </c>
      <c r="BX139" s="4">
        <f t="shared" si="207"/>
        <v>-1579.2160454901259</v>
      </c>
      <c r="BY139" s="4">
        <f t="shared" si="208"/>
        <v>-3672.9490008282096</v>
      </c>
      <c r="BZ139" s="6">
        <f t="shared" si="209"/>
        <v>-1.5416390271325326</v>
      </c>
      <c r="CA139" s="7"/>
      <c r="CB139" s="6">
        <v>-1.5416365228011271</v>
      </c>
      <c r="CC139" s="6"/>
    </row>
    <row r="140" spans="1:81" x14ac:dyDescent="0.3">
      <c r="A140" s="4">
        <v>138</v>
      </c>
      <c r="B140" s="4">
        <v>3346093</v>
      </c>
      <c r="C140" s="4">
        <v>2.5150000000000001</v>
      </c>
      <c r="D140" s="4">
        <v>4.8259999999999996</v>
      </c>
      <c r="E140" s="4">
        <v>0.51400000000000001</v>
      </c>
      <c r="F140" s="4">
        <v>3.7469999999999999</v>
      </c>
      <c r="H140" s="6">
        <v>-2618.81325553337</v>
      </c>
      <c r="I140" s="4">
        <f t="shared" si="140"/>
        <v>116.7281972815</v>
      </c>
      <c r="J140" s="4">
        <f t="shared" si="141"/>
        <v>-2375.0109875859998</v>
      </c>
      <c r="K140" s="4">
        <f t="shared" si="142"/>
        <v>1217.5768724</v>
      </c>
      <c r="L140" s="4">
        <f t="shared" si="143"/>
        <v>12108.45343164</v>
      </c>
      <c r="M140" s="4">
        <f t="shared" si="144"/>
        <v>24.439789055184502</v>
      </c>
      <c r="N140" s="4">
        <f t="shared" si="145"/>
        <v>30.704116546165295</v>
      </c>
      <c r="O140" s="4">
        <f t="shared" si="146"/>
        <v>-88.977368912680006</v>
      </c>
      <c r="P140" s="4">
        <f t="shared" si="147"/>
        <v>-361.32821106469498</v>
      </c>
      <c r="Q140" s="4">
        <f t="shared" si="148"/>
        <v>-279.50561243926995</v>
      </c>
      <c r="R140" s="4">
        <f t="shared" si="149"/>
        <v>448.87439279450399</v>
      </c>
      <c r="S140" s="4">
        <f t="shared" si="150"/>
        <v>7651.0055767570739</v>
      </c>
      <c r="T140" s="4">
        <f t="shared" si="151"/>
        <v>-109.66002552629598</v>
      </c>
      <c r="U140" s="4">
        <f t="shared" si="152"/>
        <v>-3959.7991344169805</v>
      </c>
      <c r="V140" s="4">
        <f t="shared" si="153"/>
        <v>-20873.249088279299</v>
      </c>
      <c r="W140" s="4">
        <f t="shared" si="154"/>
        <v>-0.57566025874510318</v>
      </c>
      <c r="X140" s="4">
        <f t="shared" si="155"/>
        <v>4.0503799017232271</v>
      </c>
      <c r="Y140" s="4">
        <f t="shared" si="156"/>
        <v>1.933752347676982</v>
      </c>
      <c r="Z140" s="4">
        <f t="shared" si="157"/>
        <v>-62.158942904878977</v>
      </c>
      <c r="AA140" s="4">
        <f t="shared" si="158"/>
        <v>13.609205735222153</v>
      </c>
      <c r="AB140" s="4">
        <f t="shared" si="159"/>
        <v>-67.226014341300314</v>
      </c>
      <c r="AC140" s="4">
        <f t="shared" si="160"/>
        <v>1.5784271200651094</v>
      </c>
      <c r="AD140" s="4">
        <f t="shared" si="161"/>
        <v>54.517110701645748</v>
      </c>
      <c r="AE140" s="4">
        <f t="shared" si="162"/>
        <v>96.431601014524986</v>
      </c>
      <c r="AF140" s="4">
        <f t="shared" si="163"/>
        <v>421.80844168059343</v>
      </c>
      <c r="AG140" s="4">
        <f t="shared" si="164"/>
        <v>-48.659364025818974</v>
      </c>
      <c r="AH140" s="4">
        <f t="shared" si="165"/>
        <v>189.16062144659395</v>
      </c>
      <c r="AI140" s="4">
        <f t="shared" si="166"/>
        <v>420.65727154303551</v>
      </c>
      <c r="AJ140" s="4">
        <f t="shared" si="167"/>
        <v>-18.745104710287404</v>
      </c>
      <c r="AK140" s="4">
        <f t="shared" si="168"/>
        <v>-1154.0267494573595</v>
      </c>
      <c r="AL140" s="4">
        <f t="shared" si="169"/>
        <v>-7901.2762750739212</v>
      </c>
      <c r="AM140" s="4">
        <f t="shared" si="170"/>
        <v>-40.877425611923869</v>
      </c>
      <c r="AN140" s="4">
        <f t="shared" si="171"/>
        <v>320.12160882975797</v>
      </c>
      <c r="AO140" s="4">
        <f t="shared" si="172"/>
        <v>4313.9515735889208</v>
      </c>
      <c r="AP140" s="4">
        <f t="shared" si="173"/>
        <v>15754.90058090061</v>
      </c>
      <c r="AQ140" s="4">
        <f t="shared" si="174"/>
        <v>2.9525708504820991E-3</v>
      </c>
      <c r="AR140" s="4">
        <f t="shared" si="175"/>
        <v>-0.10521894939652505</v>
      </c>
      <c r="AS140" s="4">
        <f t="shared" si="176"/>
        <v>2.6827764561688366E-3</v>
      </c>
      <c r="AT140" s="4">
        <f t="shared" si="177"/>
        <v>0.79125721817029993</v>
      </c>
      <c r="AU140" s="4">
        <f t="shared" si="178"/>
        <v>0.59951801707074259</v>
      </c>
      <c r="AV140" s="4">
        <f t="shared" si="179"/>
        <v>-4.7021326908899212E-3</v>
      </c>
      <c r="AW140" s="4">
        <f t="shared" si="180"/>
        <v>-5.5524604418519594</v>
      </c>
      <c r="AX140" s="4">
        <f t="shared" si="181"/>
        <v>-2.1634725980452134</v>
      </c>
      <c r="AY140" s="4">
        <f t="shared" si="182"/>
        <v>4.8066802207188379</v>
      </c>
      <c r="AZ140" s="4">
        <f t="shared" si="183"/>
        <v>33.607859256266202</v>
      </c>
      <c r="BA140" s="4">
        <f t="shared" si="184"/>
        <v>-0.24441495809417246</v>
      </c>
      <c r="BB140" s="4">
        <f t="shared" si="185"/>
        <v>-7.6592834551315505</v>
      </c>
      <c r="BC140" s="4">
        <f t="shared" si="186"/>
        <v>-4.142952497072387</v>
      </c>
      <c r="BD140" s="4">
        <f t="shared" si="187"/>
        <v>16.090060183214543</v>
      </c>
      <c r="BE140" s="4">
        <f t="shared" si="188"/>
        <v>44.048770436267894</v>
      </c>
      <c r="BF140" s="4">
        <f t="shared" si="189"/>
        <v>-30.144582244016345</v>
      </c>
      <c r="BG140" s="4">
        <f t="shared" si="190"/>
        <v>-3.2770855649233468</v>
      </c>
      <c r="BH140" s="4">
        <f t="shared" si="191"/>
        <v>-53.697307227593591</v>
      </c>
      <c r="BI140" s="4">
        <f t="shared" si="192"/>
        <v>-6.7096139280715654</v>
      </c>
      <c r="BJ140" s="4">
        <f t="shared" si="193"/>
        <v>-171.4914807573831</v>
      </c>
      <c r="BK140" s="4">
        <f t="shared" si="194"/>
        <v>0.32953218503582565</v>
      </c>
      <c r="BL140" s="4">
        <f t="shared" si="195"/>
        <v>12.570845272126352</v>
      </c>
      <c r="BM140" s="4">
        <f t="shared" si="196"/>
        <v>28.201119121983709</v>
      </c>
      <c r="BN140" s="4">
        <f t="shared" si="197"/>
        <v>-17.675882381223328</v>
      </c>
      <c r="BO140" s="4">
        <f t="shared" si="198"/>
        <v>-176.27620065651561</v>
      </c>
      <c r="BP140" s="4">
        <f t="shared" si="199"/>
        <v>-110.50972621905501</v>
      </c>
      <c r="BQ140" s="4">
        <f t="shared" si="200"/>
        <v>-13.906161835626703</v>
      </c>
      <c r="BR140" s="4">
        <f t="shared" si="201"/>
        <v>76.624136788145236</v>
      </c>
      <c r="BS140" s="4">
        <f t="shared" si="202"/>
        <v>645.15259908517578</v>
      </c>
      <c r="BT140" s="4">
        <f t="shared" si="203"/>
        <v>2616.3724474167379</v>
      </c>
      <c r="BU140" s="4">
        <f t="shared" si="204"/>
        <v>3.2492389268232595</v>
      </c>
      <c r="BV140" s="4">
        <f t="shared" si="205"/>
        <v>51.174508206395103</v>
      </c>
      <c r="BW140" s="4">
        <f t="shared" si="206"/>
        <v>-266.88659124713354</v>
      </c>
      <c r="BX140" s="4">
        <f t="shared" si="207"/>
        <v>-1502.1968489246308</v>
      </c>
      <c r="BY140" s="4">
        <f t="shared" si="208"/>
        <v>-4393.0124885276373</v>
      </c>
      <c r="BZ140" s="6">
        <f t="shared" si="209"/>
        <v>-1.4185357226824635</v>
      </c>
      <c r="CA140" s="7"/>
      <c r="CB140" s="6">
        <v>-1.4185356127572959</v>
      </c>
      <c r="CC140" s="6"/>
    </row>
    <row r="141" spans="1:81" x14ac:dyDescent="0.3">
      <c r="A141" s="4">
        <v>139</v>
      </c>
      <c r="B141" s="4">
        <v>68152308</v>
      </c>
      <c r="C141" s="4">
        <v>3.0579999999999998</v>
      </c>
      <c r="D141" s="4">
        <v>5.1079999999999997</v>
      </c>
      <c r="E141" s="4">
        <v>0.45100000000000001</v>
      </c>
      <c r="F141" s="4">
        <v>3.823</v>
      </c>
      <c r="H141" s="6">
        <v>-2618.81325553337</v>
      </c>
      <c r="I141" s="4">
        <f t="shared" si="140"/>
        <v>141.93034882179998</v>
      </c>
      <c r="J141" s="4">
        <f t="shared" si="141"/>
        <v>-2513.7911571879999</v>
      </c>
      <c r="K141" s="4">
        <f t="shared" si="142"/>
        <v>1068.3407966</v>
      </c>
      <c r="L141" s="4">
        <f t="shared" si="143"/>
        <v>12354.047896759999</v>
      </c>
      <c r="M141" s="4">
        <f t="shared" si="144"/>
        <v>36.132368973158478</v>
      </c>
      <c r="N141" s="4">
        <f t="shared" si="145"/>
        <v>39.514789121703274</v>
      </c>
      <c r="O141" s="4">
        <f t="shared" si="146"/>
        <v>-94.927594089063987</v>
      </c>
      <c r="P141" s="4">
        <f t="shared" si="147"/>
        <v>-448.25172288958595</v>
      </c>
      <c r="Q141" s="4">
        <f t="shared" si="148"/>
        <v>-313.12495076827997</v>
      </c>
      <c r="R141" s="4">
        <f t="shared" si="149"/>
        <v>416.87113482088796</v>
      </c>
      <c r="S141" s="4">
        <f t="shared" si="150"/>
        <v>8262.332998669428</v>
      </c>
      <c r="T141" s="4">
        <f t="shared" si="151"/>
        <v>-84.425800739125989</v>
      </c>
      <c r="U141" s="4">
        <f t="shared" si="152"/>
        <v>-3544.9260850886303</v>
      </c>
      <c r="V141" s="4">
        <f t="shared" si="153"/>
        <v>-21728.5760090433</v>
      </c>
      <c r="W141" s="4">
        <f t="shared" si="154"/>
        <v>-1.034819785218166</v>
      </c>
      <c r="X141" s="4">
        <f t="shared" si="155"/>
        <v>6.3380887150197154</v>
      </c>
      <c r="Y141" s="4">
        <f t="shared" si="156"/>
        <v>2.5084951183988071</v>
      </c>
      <c r="Z141" s="4">
        <f t="shared" si="157"/>
        <v>-93.761211093026091</v>
      </c>
      <c r="AA141" s="4">
        <f t="shared" si="158"/>
        <v>18.537852113433935</v>
      </c>
      <c r="AB141" s="4">
        <f t="shared" si="159"/>
        <v>-75.912597057134775</v>
      </c>
      <c r="AC141" s="4">
        <f t="shared" si="160"/>
        <v>2.0725652005789295</v>
      </c>
      <c r="AD141" s="4">
        <f t="shared" si="161"/>
        <v>51.033948200813462</v>
      </c>
      <c r="AE141" s="4">
        <f t="shared" si="162"/>
        <v>104.96702698831713</v>
      </c>
      <c r="AF141" s="4">
        <f t="shared" si="163"/>
        <v>533.89514130060388</v>
      </c>
      <c r="AG141" s="4">
        <f t="shared" si="164"/>
        <v>-57.697519351759865</v>
      </c>
      <c r="AH141" s="4">
        <f t="shared" si="165"/>
        <v>185.93934512437787</v>
      </c>
      <c r="AI141" s="4">
        <f t="shared" si="166"/>
        <v>480.81294038154579</v>
      </c>
      <c r="AJ141" s="4">
        <f t="shared" si="167"/>
        <v>-15.274896897387668</v>
      </c>
      <c r="AK141" s="4">
        <f t="shared" si="168"/>
        <v>-1093.4866226103481</v>
      </c>
      <c r="AL141" s="4">
        <f t="shared" si="169"/>
        <v>-8705.6665480786833</v>
      </c>
      <c r="AM141" s="4">
        <f t="shared" si="170"/>
        <v>-27.613649340132987</v>
      </c>
      <c r="AN141" s="4">
        <f t="shared" si="171"/>
        <v>251.45625403514333</v>
      </c>
      <c r="AO141" s="4">
        <f t="shared" si="172"/>
        <v>3940.3055314188596</v>
      </c>
      <c r="AP141" s="4">
        <f t="shared" si="173"/>
        <v>16733.141428994186</v>
      </c>
      <c r="AQ141" s="4">
        <f t="shared" si="174"/>
        <v>6.4535442847488411E-3</v>
      </c>
      <c r="AR141" s="4">
        <f t="shared" si="175"/>
        <v>-0.20019628179557564</v>
      </c>
      <c r="AS141" s="4">
        <f t="shared" si="176"/>
        <v>4.2315198675615664E-3</v>
      </c>
      <c r="AT141" s="4">
        <f t="shared" si="177"/>
        <v>1.4512317283884733</v>
      </c>
      <c r="AU141" s="4">
        <f t="shared" si="178"/>
        <v>0.99295225106672835</v>
      </c>
      <c r="AV141" s="4">
        <f t="shared" si="179"/>
        <v>-6.4561090542078004E-3</v>
      </c>
      <c r="AW141" s="4">
        <f t="shared" si="180"/>
        <v>-8.8647936839789025</v>
      </c>
      <c r="AX141" s="4">
        <f t="shared" si="181"/>
        <v>-2.4625056070612112</v>
      </c>
      <c r="AY141" s="4">
        <f t="shared" si="182"/>
        <v>6.3617740675241103</v>
      </c>
      <c r="AZ141" s="4">
        <f t="shared" si="183"/>
        <v>51.72268277904336</v>
      </c>
      <c r="BA141" s="4">
        <f t="shared" si="184"/>
        <v>-0.3523854643465042</v>
      </c>
      <c r="BB141" s="4">
        <f t="shared" si="185"/>
        <v>-9.1543644588133635</v>
      </c>
      <c r="BC141" s="4">
        <f t="shared" si="186"/>
        <v>-5.7578081800535399</v>
      </c>
      <c r="BD141" s="4">
        <f t="shared" si="187"/>
        <v>15.942175178359031</v>
      </c>
      <c r="BE141" s="4">
        <f t="shared" si="188"/>
        <v>50.749396333990731</v>
      </c>
      <c r="BF141" s="4">
        <f t="shared" si="189"/>
        <v>-40.384391380872117</v>
      </c>
      <c r="BG141" s="4">
        <f t="shared" si="190"/>
        <v>-2.6917054963420823</v>
      </c>
      <c r="BH141" s="4">
        <f t="shared" si="191"/>
        <v>-51.286073442877097</v>
      </c>
      <c r="BI141" s="4">
        <f t="shared" si="192"/>
        <v>-7.4516364078832602</v>
      </c>
      <c r="BJ141" s="4">
        <f t="shared" si="193"/>
        <v>-221.46436565776119</v>
      </c>
      <c r="BK141" s="4">
        <f t="shared" si="194"/>
        <v>0.4135729465879564</v>
      </c>
      <c r="BL141" s="4">
        <f t="shared" si="195"/>
        <v>13.078821629567912</v>
      </c>
      <c r="BM141" s="4">
        <f t="shared" si="196"/>
        <v>34.117536198970278</v>
      </c>
      <c r="BN141" s="4">
        <f t="shared" si="197"/>
        <v>-15.245268965103397</v>
      </c>
      <c r="BO141" s="4">
        <f t="shared" si="198"/>
        <v>-176.78884206792648</v>
      </c>
      <c r="BP141" s="4">
        <f t="shared" si="199"/>
        <v>-128.87505239664799</v>
      </c>
      <c r="BQ141" s="4">
        <f t="shared" si="200"/>
        <v>-9.9428552960845344</v>
      </c>
      <c r="BR141" s="4">
        <f t="shared" si="201"/>
        <v>63.705454238477593</v>
      </c>
      <c r="BS141" s="4">
        <f t="shared" si="202"/>
        <v>623.70705273382316</v>
      </c>
      <c r="BT141" s="4">
        <f t="shared" si="203"/>
        <v>2941.2026784412415</v>
      </c>
      <c r="BU141" s="4">
        <f t="shared" si="204"/>
        <v>1.9259071216023931</v>
      </c>
      <c r="BV141" s="4">
        <f t="shared" si="205"/>
        <v>35.270738359157498</v>
      </c>
      <c r="BW141" s="4">
        <f t="shared" si="206"/>
        <v>-213.89213249549866</v>
      </c>
      <c r="BX141" s="4">
        <f t="shared" si="207"/>
        <v>-1399.9163451657805</v>
      </c>
      <c r="BY141" s="4">
        <f t="shared" si="208"/>
        <v>-4760.4154670348962</v>
      </c>
      <c r="BZ141" s="6">
        <f t="shared" si="209"/>
        <v>-1.605474715614946</v>
      </c>
      <c r="CA141" s="7"/>
      <c r="CB141" s="6">
        <v>-1.605475330817171</v>
      </c>
      <c r="CC141" s="6"/>
    </row>
    <row r="142" spans="1:81" x14ac:dyDescent="0.3">
      <c r="A142" s="4">
        <v>140</v>
      </c>
      <c r="B142" s="4">
        <v>45485137</v>
      </c>
      <c r="C142" s="4">
        <v>2.7050000000000001</v>
      </c>
      <c r="D142" s="4">
        <v>3.6850000000000001</v>
      </c>
      <c r="E142" s="4">
        <v>0.67600000000000005</v>
      </c>
      <c r="F142" s="4">
        <v>3.7370000000000001</v>
      </c>
      <c r="H142" s="6">
        <v>-2618.81325553337</v>
      </c>
      <c r="I142" s="4">
        <f t="shared" si="140"/>
        <v>125.5466296805</v>
      </c>
      <c r="J142" s="4">
        <f t="shared" si="141"/>
        <v>-1813.4926417850002</v>
      </c>
      <c r="K142" s="4">
        <f t="shared" si="142"/>
        <v>1601.3267816</v>
      </c>
      <c r="L142" s="4">
        <f t="shared" si="143"/>
        <v>12076.13837044</v>
      </c>
      <c r="M142" s="4">
        <f t="shared" si="144"/>
        <v>28.271966216460502</v>
      </c>
      <c r="N142" s="4">
        <f t="shared" si="145"/>
        <v>25.21599214686475</v>
      </c>
      <c r="O142" s="4">
        <f t="shared" si="146"/>
        <v>-125.86135888664001</v>
      </c>
      <c r="P142" s="4">
        <f t="shared" si="147"/>
        <v>-387.58820808221498</v>
      </c>
      <c r="Q142" s="4">
        <f t="shared" si="148"/>
        <v>-162.96370210793751</v>
      </c>
      <c r="R142" s="4">
        <f t="shared" si="149"/>
        <v>450.77371312116003</v>
      </c>
      <c r="S142" s="4">
        <f t="shared" si="150"/>
        <v>5826.5046567801155</v>
      </c>
      <c r="T142" s="4">
        <f t="shared" si="151"/>
        <v>-189.67736008457601</v>
      </c>
      <c r="U142" s="4">
        <f t="shared" si="152"/>
        <v>-5193.9305483057215</v>
      </c>
      <c r="V142" s="4">
        <f t="shared" si="153"/>
        <v>-20761.984632411302</v>
      </c>
      <c r="W142" s="4">
        <f t="shared" si="154"/>
        <v>-0.71623260702705949</v>
      </c>
      <c r="X142" s="4">
        <f t="shared" si="155"/>
        <v>3.5777047214880442</v>
      </c>
      <c r="Y142" s="4">
        <f t="shared" si="156"/>
        <v>2.9420021854963156</v>
      </c>
      <c r="Z142" s="4">
        <f t="shared" si="157"/>
        <v>-71.713609984512345</v>
      </c>
      <c r="AA142" s="4">
        <f t="shared" si="158"/>
        <v>8.5341919907668728</v>
      </c>
      <c r="AB142" s="4">
        <f t="shared" si="159"/>
        <v>-72.610661855739153</v>
      </c>
      <c r="AC142" s="4">
        <f t="shared" si="160"/>
        <v>1.2928358713908539</v>
      </c>
      <c r="AD142" s="4">
        <f t="shared" si="161"/>
        <v>101.42132148875315</v>
      </c>
      <c r="AE142" s="4">
        <f t="shared" si="162"/>
        <v>136.04157115400133</v>
      </c>
      <c r="AF142" s="4">
        <f t="shared" si="163"/>
        <v>451.25638153018753</v>
      </c>
      <c r="AG142" s="4">
        <f t="shared" si="164"/>
        <v>-21.662917825793791</v>
      </c>
      <c r="AH142" s="4">
        <f t="shared" si="165"/>
        <v>145.04897304435539</v>
      </c>
      <c r="AI142" s="4">
        <f t="shared" si="166"/>
        <v>244.60659073989189</v>
      </c>
      <c r="AJ142" s="4">
        <f t="shared" si="167"/>
        <v>-24.757409447412929</v>
      </c>
      <c r="AK142" s="4">
        <f t="shared" si="168"/>
        <v>-1155.8168775842946</v>
      </c>
      <c r="AL142" s="4">
        <f t="shared" si="169"/>
        <v>-6001.0359943824014</v>
      </c>
      <c r="AM142" s="4">
        <f t="shared" si="170"/>
        <v>-92.989576051909893</v>
      </c>
      <c r="AN142" s="4">
        <f t="shared" si="171"/>
        <v>552.23197527482796</v>
      </c>
      <c r="AO142" s="4">
        <f t="shared" si="172"/>
        <v>5643.3586549714646</v>
      </c>
      <c r="AP142" s="4">
        <f t="shared" si="173"/>
        <v>15629.096807641256</v>
      </c>
      <c r="AQ142" s="4">
        <f t="shared" si="174"/>
        <v>3.9510947822112381E-3</v>
      </c>
      <c r="AR142" s="4">
        <f t="shared" si="175"/>
        <v>-9.9961318494885709E-2</v>
      </c>
      <c r="AS142" s="4">
        <f t="shared" si="176"/>
        <v>4.3899128993264529E-3</v>
      </c>
      <c r="AT142" s="4">
        <f t="shared" si="177"/>
        <v>0.98184951461537651</v>
      </c>
      <c r="AU142" s="4">
        <f t="shared" si="178"/>
        <v>0.40435344602300971</v>
      </c>
      <c r="AV142" s="4">
        <f t="shared" si="179"/>
        <v>-5.4624464454395864E-3</v>
      </c>
      <c r="AW142" s="4">
        <f t="shared" si="180"/>
        <v>-4.8914048812286932</v>
      </c>
      <c r="AX142" s="4">
        <f t="shared" si="181"/>
        <v>-4.3288956084824077</v>
      </c>
      <c r="AY142" s="4">
        <f t="shared" si="182"/>
        <v>7.2933452427477272</v>
      </c>
      <c r="AZ142" s="4">
        <f t="shared" si="183"/>
        <v>38.670360379461876</v>
      </c>
      <c r="BA142" s="4">
        <f t="shared" si="184"/>
        <v>-0.11703279712431347</v>
      </c>
      <c r="BB142" s="4">
        <f t="shared" si="185"/>
        <v>-6.3168614062586688</v>
      </c>
      <c r="BC142" s="4">
        <f t="shared" si="186"/>
        <v>-2.591069056087667</v>
      </c>
      <c r="BD142" s="4">
        <f t="shared" si="187"/>
        <v>22.856213129553229</v>
      </c>
      <c r="BE142" s="4">
        <f t="shared" si="188"/>
        <v>47.45000106717039</v>
      </c>
      <c r="BF142" s="4">
        <f t="shared" si="189"/>
        <v>-24.624506400218312</v>
      </c>
      <c r="BG142" s="4">
        <f t="shared" si="190"/>
        <v>-8.0180321234940326</v>
      </c>
      <c r="BH142" s="4">
        <f t="shared" si="191"/>
        <v>-99.629590728507239</v>
      </c>
      <c r="BI142" s="4">
        <f t="shared" si="192"/>
        <v>-9.4403739549663541</v>
      </c>
      <c r="BJ142" s="4">
        <f t="shared" si="193"/>
        <v>-182.97427904752175</v>
      </c>
      <c r="BK142" s="4">
        <f t="shared" si="194"/>
        <v>0.11202076560931877</v>
      </c>
      <c r="BL142" s="4">
        <f t="shared" si="195"/>
        <v>7.3603519540520663</v>
      </c>
      <c r="BM142" s="4">
        <f t="shared" si="196"/>
        <v>12.521497514962274</v>
      </c>
      <c r="BN142" s="4">
        <f t="shared" si="197"/>
        <v>-17.825782621083601</v>
      </c>
      <c r="BO142" s="4">
        <f t="shared" si="198"/>
        <v>-134.80841805503042</v>
      </c>
      <c r="BP142" s="4">
        <f t="shared" si="199"/>
        <v>-64.08843429469502</v>
      </c>
      <c r="BQ142" s="4">
        <f t="shared" si="200"/>
        <v>-24.155063567152514</v>
      </c>
      <c r="BR142" s="4">
        <f t="shared" si="201"/>
        <v>100.93047758578561</v>
      </c>
      <c r="BS142" s="4">
        <f t="shared" si="202"/>
        <v>644.42890562869241</v>
      </c>
      <c r="BT142" s="4">
        <f t="shared" si="203"/>
        <v>1981.8371079626293</v>
      </c>
      <c r="BU142" s="4">
        <f t="shared" si="204"/>
        <v>9.7211121913720628</v>
      </c>
      <c r="BV142" s="4">
        <f t="shared" si="205"/>
        <v>116.1030993559787</v>
      </c>
      <c r="BW142" s="4">
        <f t="shared" si="206"/>
        <v>-459.16916751758828</v>
      </c>
      <c r="BX142" s="4">
        <f t="shared" si="207"/>
        <v>-1959.8761947243127</v>
      </c>
      <c r="BY142" s="4">
        <f t="shared" si="208"/>
        <v>-4346.3035732562757</v>
      </c>
      <c r="BZ142" s="6">
        <f t="shared" si="209"/>
        <v>-1.0129333955101174</v>
      </c>
      <c r="CA142" s="7"/>
      <c r="CB142" s="6">
        <v>-1.01293243530472</v>
      </c>
      <c r="CC142" s="6"/>
    </row>
    <row r="143" spans="1:81" x14ac:dyDescent="0.3">
      <c r="A143" s="4">
        <v>141</v>
      </c>
      <c r="B143" s="4">
        <v>92470572</v>
      </c>
      <c r="C143" s="4">
        <v>2.6739999999999999</v>
      </c>
      <c r="D143" s="4">
        <v>4.7089999999999996</v>
      </c>
      <c r="E143" s="4">
        <v>0.46400000000000002</v>
      </c>
      <c r="F143" s="4">
        <v>3.3149999999999999</v>
      </c>
      <c r="H143" s="6">
        <v>-2618.81325553337</v>
      </c>
      <c r="I143" s="4">
        <f t="shared" si="140"/>
        <v>124.1078328154</v>
      </c>
      <c r="J143" s="4">
        <f t="shared" si="141"/>
        <v>-2317.4319810489997</v>
      </c>
      <c r="K143" s="4">
        <f t="shared" si="142"/>
        <v>1099.1355424000001</v>
      </c>
      <c r="L143" s="4">
        <f t="shared" si="143"/>
        <v>10712.442787800001</v>
      </c>
      <c r="M143" s="4">
        <f t="shared" si="144"/>
        <v>27.62767128858632</v>
      </c>
      <c r="N143" s="4">
        <f t="shared" si="145"/>
        <v>31.853810514261813</v>
      </c>
      <c r="O143" s="4">
        <f t="shared" si="146"/>
        <v>-85.399992879487996</v>
      </c>
      <c r="P143" s="4">
        <f t="shared" si="147"/>
        <v>-339.87962002448995</v>
      </c>
      <c r="Q143" s="4">
        <f t="shared" si="148"/>
        <v>-266.11740425705744</v>
      </c>
      <c r="R143" s="4">
        <f t="shared" si="149"/>
        <v>395.38579745193596</v>
      </c>
      <c r="S143" s="4">
        <f t="shared" si="150"/>
        <v>6604.8009088329445</v>
      </c>
      <c r="T143" s="4">
        <f t="shared" si="151"/>
        <v>-89.363067024895997</v>
      </c>
      <c r="U143" s="4">
        <f t="shared" si="152"/>
        <v>-3162.4805092296006</v>
      </c>
      <c r="V143" s="4">
        <f t="shared" si="153"/>
        <v>-16337.655532282499</v>
      </c>
      <c r="W143" s="4">
        <f t="shared" si="154"/>
        <v>-0.69188910057853747</v>
      </c>
      <c r="X143" s="4">
        <f t="shared" si="155"/>
        <v>4.4676995492623632</v>
      </c>
      <c r="Y143" s="4">
        <f t="shared" si="156"/>
        <v>1.9733428325049536</v>
      </c>
      <c r="Z143" s="4">
        <f t="shared" si="157"/>
        <v>-62.165622495918335</v>
      </c>
      <c r="AA143" s="4">
        <f t="shared" si="158"/>
        <v>13.776501339932217</v>
      </c>
      <c r="AB143" s="4">
        <f t="shared" si="159"/>
        <v>-62.958882636184747</v>
      </c>
      <c r="AC143" s="4">
        <f t="shared" si="160"/>
        <v>1.4487356935447206</v>
      </c>
      <c r="AD143" s="4">
        <f t="shared" si="161"/>
        <v>47.235222745303759</v>
      </c>
      <c r="AE143" s="4">
        <f t="shared" si="162"/>
        <v>81.883706315301083</v>
      </c>
      <c r="AF143" s="4">
        <f t="shared" si="163"/>
        <v>351.0252520682667</v>
      </c>
      <c r="AG143" s="4">
        <f t="shared" si="164"/>
        <v>-45.205424002438242</v>
      </c>
      <c r="AH143" s="4">
        <f t="shared" si="165"/>
        <v>162.58045679128068</v>
      </c>
      <c r="AI143" s="4">
        <f t="shared" si="166"/>
        <v>354.33249801541018</v>
      </c>
      <c r="AJ143" s="4">
        <f t="shared" si="167"/>
        <v>-14.90523977391288</v>
      </c>
      <c r="AK143" s="4">
        <f t="shared" si="168"/>
        <v>-899.3152327487453</v>
      </c>
      <c r="AL143" s="4">
        <f t="shared" si="169"/>
        <v>-6034.4584276683208</v>
      </c>
      <c r="AM143" s="4">
        <f t="shared" si="170"/>
        <v>-30.071017374236675</v>
      </c>
      <c r="AN143" s="4">
        <f t="shared" si="171"/>
        <v>230.79402095627904</v>
      </c>
      <c r="AO143" s="4">
        <f t="shared" si="172"/>
        <v>3048.1041796618611</v>
      </c>
      <c r="AP143" s="4">
        <f t="shared" si="173"/>
        <v>10909.759726290087</v>
      </c>
      <c r="AQ143" s="4">
        <f t="shared" si="174"/>
        <v>3.7730623497469304E-3</v>
      </c>
      <c r="AR143" s="4">
        <f t="shared" si="175"/>
        <v>-0.1233972765177009</v>
      </c>
      <c r="AS143" s="4">
        <f t="shared" si="176"/>
        <v>2.9107813826599982E-3</v>
      </c>
      <c r="AT143" s="4">
        <f t="shared" si="177"/>
        <v>0.84137143828747274</v>
      </c>
      <c r="AU143" s="4">
        <f t="shared" si="178"/>
        <v>0.64525564421118287</v>
      </c>
      <c r="AV143" s="4">
        <f t="shared" si="179"/>
        <v>-4.682070426389115E-3</v>
      </c>
      <c r="AW143" s="4">
        <f t="shared" si="180"/>
        <v>-5.4184305685230072</v>
      </c>
      <c r="AX143" s="4">
        <f t="shared" si="181"/>
        <v>-1.993002984724904</v>
      </c>
      <c r="AY143" s="4">
        <f t="shared" si="182"/>
        <v>4.3395706032865551</v>
      </c>
      <c r="AZ143" s="4">
        <f t="shared" si="183"/>
        <v>29.736329208112046</v>
      </c>
      <c r="BA143" s="4">
        <f t="shared" si="184"/>
        <v>-0.24142114935186215</v>
      </c>
      <c r="BB143" s="4">
        <f t="shared" si="185"/>
        <v>-6.9992122406797854</v>
      </c>
      <c r="BC143" s="4">
        <f t="shared" si="186"/>
        <v>-3.7103591737782331</v>
      </c>
      <c r="BD143" s="4">
        <f t="shared" si="187"/>
        <v>13.602921068629792</v>
      </c>
      <c r="BE143" s="4">
        <f t="shared" si="188"/>
        <v>36.496673113742311</v>
      </c>
      <c r="BF143" s="4">
        <f t="shared" si="189"/>
        <v>-24.477876276416033</v>
      </c>
      <c r="BG143" s="4">
        <f t="shared" si="190"/>
        <v>-2.5631603672720731</v>
      </c>
      <c r="BH143" s="4">
        <f t="shared" si="191"/>
        <v>-41.160958917774117</v>
      </c>
      <c r="BI143" s="4">
        <f t="shared" si="192"/>
        <v>-5.0405216669788313</v>
      </c>
      <c r="BJ143" s="4">
        <f t="shared" si="193"/>
        <v>-126.25991214270259</v>
      </c>
      <c r="BK143" s="4">
        <f t="shared" si="194"/>
        <v>0.29871933206952311</v>
      </c>
      <c r="BL143" s="4">
        <f t="shared" si="195"/>
        <v>10.542496392847863</v>
      </c>
      <c r="BM143" s="4">
        <f t="shared" si="196"/>
        <v>23.17876547589821</v>
      </c>
      <c r="BN143" s="4">
        <f t="shared" si="197"/>
        <v>-13.714297677837864</v>
      </c>
      <c r="BO143" s="4">
        <f t="shared" si="198"/>
        <v>-134.0389843421178</v>
      </c>
      <c r="BP143" s="4">
        <f t="shared" si="199"/>
        <v>-82.353664352839928</v>
      </c>
      <c r="BQ143" s="4">
        <f t="shared" si="200"/>
        <v>-9.9819005075147089</v>
      </c>
      <c r="BR143" s="4">
        <f t="shared" si="201"/>
        <v>53.903446060987925</v>
      </c>
      <c r="BS143" s="4">
        <f t="shared" si="202"/>
        <v>444.79343128129466</v>
      </c>
      <c r="BT143" s="4">
        <f t="shared" si="203"/>
        <v>1767.8298340322503</v>
      </c>
      <c r="BU143" s="4">
        <f t="shared" si="204"/>
        <v>2.157749843612192</v>
      </c>
      <c r="BV143" s="4">
        <f t="shared" si="205"/>
        <v>33.305664432696119</v>
      </c>
      <c r="BW143" s="4">
        <f t="shared" si="206"/>
        <v>-170.23002275166212</v>
      </c>
      <c r="BX143" s="4">
        <f t="shared" si="207"/>
        <v>-939.03380521978238</v>
      </c>
      <c r="BY143" s="4">
        <f t="shared" si="208"/>
        <v>-2691.2980484526979</v>
      </c>
      <c r="BZ143" s="6">
        <f t="shared" si="209"/>
        <v>-1.1421510865129676</v>
      </c>
      <c r="CA143" s="7"/>
      <c r="CB143" s="6">
        <v>-1.142149633606095</v>
      </c>
      <c r="CC143" s="6"/>
    </row>
    <row r="144" spans="1:81" x14ac:dyDescent="0.3">
      <c r="A144" s="4">
        <v>142</v>
      </c>
      <c r="B144" s="4">
        <v>5257090</v>
      </c>
      <c r="C144" s="4">
        <v>1.73</v>
      </c>
      <c r="D144" s="4">
        <v>3.3450000000000002</v>
      </c>
      <c r="E144" s="4">
        <v>0.75900000000000001</v>
      </c>
      <c r="F144" s="4">
        <v>3.49</v>
      </c>
      <c r="H144" s="6">
        <v>-2618.81325553337</v>
      </c>
      <c r="I144" s="4">
        <f t="shared" si="140"/>
        <v>80.294147632999994</v>
      </c>
      <c r="J144" s="4">
        <f t="shared" si="141"/>
        <v>-1646.1690330450001</v>
      </c>
      <c r="K144" s="4">
        <f t="shared" si="142"/>
        <v>1797.9393894</v>
      </c>
      <c r="L144" s="4">
        <f t="shared" si="143"/>
        <v>11277.9563588</v>
      </c>
      <c r="M144" s="4">
        <f t="shared" si="144"/>
        <v>11.564149048178001</v>
      </c>
      <c r="N144" s="4">
        <f t="shared" si="145"/>
        <v>14.6390712364995</v>
      </c>
      <c r="O144" s="4">
        <f t="shared" si="146"/>
        <v>-90.378749911559993</v>
      </c>
      <c r="P144" s="4">
        <f t="shared" si="147"/>
        <v>-231.50038545829997</v>
      </c>
      <c r="Q144" s="4">
        <f t="shared" si="148"/>
        <v>-134.27901349143752</v>
      </c>
      <c r="R144" s="4">
        <f t="shared" si="149"/>
        <v>459.42253314902996</v>
      </c>
      <c r="S144" s="4">
        <f t="shared" si="150"/>
        <v>4939.3415355763509</v>
      </c>
      <c r="T144" s="4">
        <f t="shared" si="151"/>
        <v>-239.11435890480601</v>
      </c>
      <c r="U144" s="4">
        <f t="shared" si="152"/>
        <v>-5446.1995148121014</v>
      </c>
      <c r="V144" s="4">
        <f t="shared" si="153"/>
        <v>-18108.12665577</v>
      </c>
      <c r="W144" s="4">
        <f t="shared" si="154"/>
        <v>-0.18736591563607502</v>
      </c>
      <c r="X144" s="4">
        <f t="shared" si="155"/>
        <v>1.3283752991453748</v>
      </c>
      <c r="Y144" s="4">
        <f t="shared" si="156"/>
        <v>1.3511256486220846</v>
      </c>
      <c r="Z144" s="4">
        <f t="shared" si="157"/>
        <v>-27.394386665920013</v>
      </c>
      <c r="AA144" s="4">
        <f t="shared" si="158"/>
        <v>4.4973687959848503</v>
      </c>
      <c r="AB144" s="4">
        <f t="shared" si="159"/>
        <v>-47.329611429392322</v>
      </c>
      <c r="AC144" s="4">
        <f t="shared" si="160"/>
        <v>0.70094378013517922</v>
      </c>
      <c r="AD144" s="4">
        <f t="shared" si="161"/>
        <v>81.770802240258845</v>
      </c>
      <c r="AE144" s="4">
        <f t="shared" si="162"/>
        <v>91.232144130531694</v>
      </c>
      <c r="AF144" s="4">
        <f t="shared" si="163"/>
        <v>251.71369711501174</v>
      </c>
      <c r="AG144" s="4">
        <f t="shared" si="164"/>
        <v>-16.202903371593791</v>
      </c>
      <c r="AH144" s="4">
        <f t="shared" si="165"/>
        <v>134.19211507229335</v>
      </c>
      <c r="AI144" s="4">
        <f t="shared" si="166"/>
        <v>188.22952380010199</v>
      </c>
      <c r="AJ144" s="4">
        <f t="shared" si="167"/>
        <v>-28.330483671634717</v>
      </c>
      <c r="AK144" s="4">
        <f t="shared" si="168"/>
        <v>-1100.1326927592477</v>
      </c>
      <c r="AL144" s="4">
        <f t="shared" si="169"/>
        <v>-4751.0491123363154</v>
      </c>
      <c r="AM144" s="4">
        <f t="shared" si="170"/>
        <v>-131.61927904525106</v>
      </c>
      <c r="AN144" s="4">
        <f t="shared" si="171"/>
        <v>650.15070605090216</v>
      </c>
      <c r="AO144" s="4">
        <f t="shared" si="172"/>
        <v>5526.3373214273279</v>
      </c>
      <c r="AP144" s="4">
        <f t="shared" si="173"/>
        <v>12730.365375438636</v>
      </c>
      <c r="AQ144" s="4">
        <f t="shared" si="174"/>
        <v>6.6104767604034317E-4</v>
      </c>
      <c r="AR144" s="4">
        <f t="shared" si="175"/>
        <v>-2.3737069798241098E-2</v>
      </c>
      <c r="AS144" s="4">
        <f t="shared" si="176"/>
        <v>1.2893994613947003E-3</v>
      </c>
      <c r="AT144" s="4">
        <f t="shared" si="177"/>
        <v>0.23987432183973487</v>
      </c>
      <c r="AU144" s="4">
        <f t="shared" si="178"/>
        <v>0.13628123979790741</v>
      </c>
      <c r="AV144" s="4">
        <f t="shared" si="179"/>
        <v>-2.2771863367371096E-3</v>
      </c>
      <c r="AW144" s="4">
        <f t="shared" si="180"/>
        <v>-1.6961030651547617</v>
      </c>
      <c r="AX144" s="4">
        <f t="shared" si="181"/>
        <v>-2.2321580408218922</v>
      </c>
      <c r="AY144" s="4">
        <f t="shared" si="182"/>
        <v>3.1281087893691129</v>
      </c>
      <c r="AZ144" s="4">
        <f t="shared" si="183"/>
        <v>13.795598455339368</v>
      </c>
      <c r="BA144" s="4">
        <f t="shared" si="184"/>
        <v>-5.5983791584306719E-2</v>
      </c>
      <c r="BB144" s="4">
        <f t="shared" si="185"/>
        <v>-3.73759742517551</v>
      </c>
      <c r="BC144" s="4">
        <f t="shared" si="186"/>
        <v>-1.2751973759760431</v>
      </c>
      <c r="BD144" s="4">
        <f t="shared" si="187"/>
        <v>16.727533203281144</v>
      </c>
      <c r="BE144" s="4">
        <f t="shared" si="188"/>
        <v>28.884915353409006</v>
      </c>
      <c r="BF144" s="4">
        <f t="shared" si="189"/>
        <v>-12.468369256048925</v>
      </c>
      <c r="BG144" s="4">
        <f t="shared" si="190"/>
        <v>-7.2582490415883756</v>
      </c>
      <c r="BH144" s="4">
        <f t="shared" si="191"/>
        <v>-75.016995967364593</v>
      </c>
      <c r="BI144" s="4">
        <f t="shared" si="192"/>
        <v>-5.9124539324283685</v>
      </c>
      <c r="BJ144" s="4">
        <f t="shared" si="193"/>
        <v>-95.318207278703952</v>
      </c>
      <c r="BK144" s="4">
        <f t="shared" si="194"/>
        <v>7.6055925619869291E-2</v>
      </c>
      <c r="BL144" s="4">
        <f t="shared" si="195"/>
        <v>6.1811538218701196</v>
      </c>
      <c r="BM144" s="4">
        <f t="shared" si="196"/>
        <v>8.7465038267696684</v>
      </c>
      <c r="BN144" s="4">
        <f t="shared" si="197"/>
        <v>-18.516377481425319</v>
      </c>
      <c r="BO144" s="4">
        <f t="shared" si="198"/>
        <v>-116.4747216537836</v>
      </c>
      <c r="BP144" s="4">
        <f t="shared" si="199"/>
        <v>-46.057629276074763</v>
      </c>
      <c r="BQ144" s="4">
        <f t="shared" si="200"/>
        <v>-31.03502177942584</v>
      </c>
      <c r="BR144" s="4">
        <f t="shared" si="201"/>
        <v>107.86323644581294</v>
      </c>
      <c r="BS144" s="4">
        <f t="shared" si="202"/>
        <v>572.84005846127513</v>
      </c>
      <c r="BT144" s="4">
        <f t="shared" si="203"/>
        <v>1465.3236973902617</v>
      </c>
      <c r="BU144" s="4">
        <f t="shared" si="204"/>
        <v>15.448854223737666</v>
      </c>
      <c r="BV144" s="4">
        <f t="shared" si="205"/>
        <v>153.47278788492991</v>
      </c>
      <c r="BW144" s="4">
        <f t="shared" si="206"/>
        <v>-504.85601659602139</v>
      </c>
      <c r="BX144" s="4">
        <f t="shared" si="207"/>
        <v>-1792.3825418333004</v>
      </c>
      <c r="BY144" s="4">
        <f t="shared" si="208"/>
        <v>-3306.2019168968986</v>
      </c>
      <c r="BZ144" s="6">
        <f t="shared" si="209"/>
        <v>-1.4550636370113352</v>
      </c>
      <c r="CA144" s="7"/>
      <c r="CB144" s="6">
        <v>-1.455061481246958</v>
      </c>
      <c r="CC144" s="6"/>
    </row>
    <row r="145" spans="1:81" x14ac:dyDescent="0.3">
      <c r="A145" s="4">
        <v>143</v>
      </c>
      <c r="B145" s="4">
        <v>46193736</v>
      </c>
      <c r="C145" s="4">
        <v>4.4020000000000001</v>
      </c>
      <c r="D145" s="4">
        <v>4.1390000000000002</v>
      </c>
      <c r="E145" s="4">
        <v>0.91700000000000004</v>
      </c>
      <c r="F145" s="4">
        <v>3.0529999999999999</v>
      </c>
      <c r="H145" s="6">
        <v>-2618.81325553337</v>
      </c>
      <c r="I145" s="4">
        <f t="shared" si="140"/>
        <v>204.30915484420001</v>
      </c>
      <c r="J145" s="4">
        <f t="shared" si="141"/>
        <v>-2036.9188722790002</v>
      </c>
      <c r="K145" s="4">
        <f t="shared" si="142"/>
        <v>2172.2139922000001</v>
      </c>
      <c r="L145" s="4">
        <f t="shared" si="143"/>
        <v>9865.7881843599989</v>
      </c>
      <c r="M145" s="4">
        <f t="shared" si="144"/>
        <v>74.872364881075285</v>
      </c>
      <c r="N145" s="4">
        <f t="shared" si="145"/>
        <v>46.091067154381065</v>
      </c>
      <c r="O145" s="4">
        <f t="shared" si="146"/>
        <v>-277.84195417647197</v>
      </c>
      <c r="P145" s="4">
        <f t="shared" si="147"/>
        <v>-515.29630807957392</v>
      </c>
      <c r="Q145" s="4">
        <f t="shared" si="148"/>
        <v>-205.59225523985754</v>
      </c>
      <c r="R145" s="4">
        <f t="shared" si="149"/>
        <v>686.81402676931805</v>
      </c>
      <c r="S145" s="4">
        <f t="shared" si="150"/>
        <v>5346.5020607146898</v>
      </c>
      <c r="T145" s="4">
        <f t="shared" si="151"/>
        <v>-349.028407715414</v>
      </c>
      <c r="U145" s="4">
        <f t="shared" si="152"/>
        <v>-5756.0225178913106</v>
      </c>
      <c r="V145" s="4">
        <f t="shared" si="153"/>
        <v>-13857.225302439298</v>
      </c>
      <c r="W145" s="4">
        <f t="shared" si="154"/>
        <v>-3.0867566683777765</v>
      </c>
      <c r="X145" s="4">
        <f t="shared" si="155"/>
        <v>10.642115446197566</v>
      </c>
      <c r="Y145" s="4">
        <f t="shared" si="156"/>
        <v>10.56893357232795</v>
      </c>
      <c r="Z145" s="4">
        <f t="shared" si="157"/>
        <v>-155.15680534350531</v>
      </c>
      <c r="AA145" s="4">
        <f t="shared" si="158"/>
        <v>17.521086995916523</v>
      </c>
      <c r="AB145" s="4">
        <f t="shared" si="159"/>
        <v>-180.037816899543</v>
      </c>
      <c r="AC145" s="4">
        <f t="shared" si="160"/>
        <v>1.9305800014071142</v>
      </c>
      <c r="AD145" s="4">
        <f t="shared" si="161"/>
        <v>303.70875620010781</v>
      </c>
      <c r="AE145" s="4">
        <f t="shared" si="162"/>
        <v>245.3470011080345</v>
      </c>
      <c r="AF145" s="4">
        <f t="shared" si="163"/>
        <v>490.13254216738517</v>
      </c>
      <c r="AG145" s="4">
        <f t="shared" si="164"/>
        <v>-30.696633917732463</v>
      </c>
      <c r="AH145" s="4">
        <f t="shared" si="165"/>
        <v>248.22937080300804</v>
      </c>
      <c r="AI145" s="4">
        <f t="shared" si="166"/>
        <v>252.10863990927834</v>
      </c>
      <c r="AJ145" s="4">
        <f t="shared" si="167"/>
        <v>-51.169174765544554</v>
      </c>
      <c r="AK145" s="4">
        <f t="shared" si="168"/>
        <v>-1438.7101656528223</v>
      </c>
      <c r="AL145" s="4">
        <f t="shared" si="169"/>
        <v>-4498.7470905082628</v>
      </c>
      <c r="AM145" s="4">
        <f t="shared" si="170"/>
        <v>-232.11445488794709</v>
      </c>
      <c r="AN145" s="4">
        <f t="shared" si="171"/>
        <v>830.17669090096865</v>
      </c>
      <c r="AO145" s="4">
        <f t="shared" si="172"/>
        <v>5109.3741295763193</v>
      </c>
      <c r="AP145" s="4">
        <f t="shared" si="173"/>
        <v>8522.0681048124734</v>
      </c>
      <c r="AQ145" s="4">
        <f t="shared" si="174"/>
        <v>2.7710765496917273E-2</v>
      </c>
      <c r="AR145" s="4">
        <f t="shared" si="175"/>
        <v>-0.48388060657097604</v>
      </c>
      <c r="AS145" s="4">
        <f t="shared" si="176"/>
        <v>2.5664147905574117E-2</v>
      </c>
      <c r="AT145" s="4">
        <f t="shared" si="177"/>
        <v>3.456980601389851</v>
      </c>
      <c r="AU145" s="4">
        <f t="shared" si="178"/>
        <v>1.3509601998347669</v>
      </c>
      <c r="AV145" s="4">
        <f t="shared" si="179"/>
        <v>-2.2041101961446145E-2</v>
      </c>
      <c r="AW145" s="4">
        <f t="shared" si="180"/>
        <v>-11.886686008894674</v>
      </c>
      <c r="AX145" s="4">
        <f t="shared" si="181"/>
        <v>-21.095408026953784</v>
      </c>
      <c r="AY145" s="4">
        <f t="shared" si="182"/>
        <v>21.405168742270341</v>
      </c>
      <c r="AZ145" s="4">
        <f t="shared" si="183"/>
        <v>68.351991055707202</v>
      </c>
      <c r="BA145" s="4">
        <f t="shared" si="184"/>
        <v>-0.26987593273407823</v>
      </c>
      <c r="BB145" s="4">
        <f t="shared" si="185"/>
        <v>-17.592300120134748</v>
      </c>
      <c r="BC145" s="4">
        <f t="shared" si="186"/>
        <v>-4.3459160360390721</v>
      </c>
      <c r="BD145" s="4">
        <f t="shared" si="187"/>
        <v>76.875908206663482</v>
      </c>
      <c r="BE145" s="4">
        <f t="shared" si="188"/>
        <v>96.117679121430527</v>
      </c>
      <c r="BF145" s="4">
        <f t="shared" si="189"/>
        <v>-30.041087459573298</v>
      </c>
      <c r="BG145" s="4">
        <f t="shared" si="190"/>
        <v>-32.570054092065732</v>
      </c>
      <c r="BH145" s="4">
        <f t="shared" si="191"/>
        <v>-243.73623649357785</v>
      </c>
      <c r="BI145" s="4">
        <f t="shared" si="192"/>
        <v>-13.909195758583529</v>
      </c>
      <c r="BJ145" s="4">
        <f t="shared" si="193"/>
        <v>-162.36182816660676</v>
      </c>
      <c r="BK145" s="4">
        <f t="shared" si="194"/>
        <v>0.17829134997952545</v>
      </c>
      <c r="BL145" s="4">
        <f t="shared" si="195"/>
        <v>14.147999118404707</v>
      </c>
      <c r="BM145" s="4">
        <f t="shared" si="196"/>
        <v>14.495519373738585</v>
      </c>
      <c r="BN145" s="4">
        <f t="shared" si="197"/>
        <v>-41.381835885440147</v>
      </c>
      <c r="BO145" s="4">
        <f t="shared" si="198"/>
        <v>-188.47737604835157</v>
      </c>
      <c r="BP145" s="4">
        <f t="shared" si="199"/>
        <v>-53.963852063268057</v>
      </c>
      <c r="BQ145" s="4">
        <f t="shared" si="200"/>
        <v>-67.722664708408345</v>
      </c>
      <c r="BR145" s="4">
        <f t="shared" si="201"/>
        <v>170.42340902938852</v>
      </c>
      <c r="BS145" s="4">
        <f t="shared" si="202"/>
        <v>655.33445051424292</v>
      </c>
      <c r="BT145" s="4">
        <f t="shared" si="203"/>
        <v>1213.7717057952407</v>
      </c>
      <c r="BU145" s="4">
        <f t="shared" si="204"/>
        <v>32.915959118937295</v>
      </c>
      <c r="BV145" s="4">
        <f t="shared" si="205"/>
        <v>236.76387484290728</v>
      </c>
      <c r="BW145" s="4">
        <f t="shared" si="206"/>
        <v>-563.93027488720134</v>
      </c>
      <c r="BX145" s="4">
        <f t="shared" si="207"/>
        <v>-1449.6474533536752</v>
      </c>
      <c r="BY145" s="4">
        <f t="shared" si="208"/>
        <v>-1936.1316422618561</v>
      </c>
      <c r="BZ145" s="6">
        <f t="shared" si="209"/>
        <v>-1.9853066093019152</v>
      </c>
      <c r="CA145" s="7"/>
      <c r="CB145" s="6">
        <v>-1.985307414922318</v>
      </c>
      <c r="CC145" s="6"/>
    </row>
    <row r="146" spans="1:81" x14ac:dyDescent="0.3">
      <c r="A146" s="4">
        <v>144</v>
      </c>
      <c r="B146" s="4">
        <v>2091305</v>
      </c>
      <c r="C146" s="4">
        <v>2.7170000000000001</v>
      </c>
      <c r="D146" s="4">
        <v>4.4669999999999996</v>
      </c>
      <c r="E146" s="4">
        <v>0.44700000000000001</v>
      </c>
      <c r="F146" s="4">
        <v>3.899</v>
      </c>
      <c r="H146" s="6">
        <v>-2618.81325553337</v>
      </c>
      <c r="I146" s="4">
        <f t="shared" si="140"/>
        <v>126.1035833057</v>
      </c>
      <c r="J146" s="4">
        <f t="shared" si="141"/>
        <v>-2198.3369418869997</v>
      </c>
      <c r="K146" s="4">
        <f t="shared" si="142"/>
        <v>1058.8654902000001</v>
      </c>
      <c r="L146" s="4">
        <f t="shared" si="143"/>
        <v>12599.64236188</v>
      </c>
      <c r="M146" s="4">
        <f t="shared" si="144"/>
        <v>28.523364456852985</v>
      </c>
      <c r="N146" s="4">
        <f t="shared" si="145"/>
        <v>30.702722674153524</v>
      </c>
      <c r="O146" s="4">
        <f t="shared" si="146"/>
        <v>-83.594097335892002</v>
      </c>
      <c r="P146" s="4">
        <f t="shared" si="147"/>
        <v>-406.18423371225703</v>
      </c>
      <c r="Q146" s="4">
        <f t="shared" si="148"/>
        <v>-239.46817404021746</v>
      </c>
      <c r="R146" s="4">
        <f t="shared" si="149"/>
        <v>361.32488213891395</v>
      </c>
      <c r="S146" s="4">
        <f t="shared" si="150"/>
        <v>7369.1381016097102</v>
      </c>
      <c r="T146" s="4">
        <f t="shared" si="151"/>
        <v>-82.934866691334008</v>
      </c>
      <c r="U146" s="4">
        <f t="shared" si="152"/>
        <v>-3583.3324510794305</v>
      </c>
      <c r="V146" s="4">
        <f t="shared" si="153"/>
        <v>-22601.0772616377</v>
      </c>
      <c r="W146" s="4">
        <f t="shared" si="154"/>
        <v>-0.72580707223663576</v>
      </c>
      <c r="X146" s="4">
        <f t="shared" si="155"/>
        <v>4.3755000418834431</v>
      </c>
      <c r="Y146" s="4">
        <f t="shared" si="156"/>
        <v>1.9626757482277657</v>
      </c>
      <c r="Z146" s="4">
        <f t="shared" si="157"/>
        <v>-75.487746408204046</v>
      </c>
      <c r="AA146" s="4">
        <f t="shared" si="158"/>
        <v>12.596262377885061</v>
      </c>
      <c r="AB146" s="4">
        <f t="shared" si="159"/>
        <v>-58.460436249279411</v>
      </c>
      <c r="AC146" s="4">
        <f t="shared" si="160"/>
        <v>1.6423826942903827</v>
      </c>
      <c r="AD146" s="4">
        <f t="shared" si="161"/>
        <v>44.542366633560256</v>
      </c>
      <c r="AE146" s="4">
        <f t="shared" si="162"/>
        <v>94.272488768756617</v>
      </c>
      <c r="AF146" s="4">
        <f t="shared" si="163"/>
        <v>493.40778812734345</v>
      </c>
      <c r="AG146" s="4">
        <f t="shared" si="164"/>
        <v>-38.588005622661115</v>
      </c>
      <c r="AH146" s="4">
        <f t="shared" si="165"/>
        <v>140.939396025489</v>
      </c>
      <c r="AI146" s="4">
        <f t="shared" si="166"/>
        <v>375.0206761368832</v>
      </c>
      <c r="AJ146" s="4">
        <f t="shared" si="167"/>
        <v>-13.122159548373626</v>
      </c>
      <c r="AK146" s="4">
        <f t="shared" si="168"/>
        <v>-966.62596484405208</v>
      </c>
      <c r="AL146" s="4">
        <f t="shared" si="169"/>
        <v>-7918.9019677270126</v>
      </c>
      <c r="AM146" s="4">
        <f t="shared" si="170"/>
        <v>-26.885415291986124</v>
      </c>
      <c r="AN146" s="4">
        <f t="shared" si="171"/>
        <v>251.92620307923059</v>
      </c>
      <c r="AO146" s="4">
        <f t="shared" si="172"/>
        <v>4062.1761681853168</v>
      </c>
      <c r="AP146" s="4">
        <f t="shared" si="173"/>
        <v>17751.06005302857</v>
      </c>
      <c r="AQ146" s="4">
        <f t="shared" si="174"/>
        <v>4.0216745601561613E-3</v>
      </c>
      <c r="AR146" s="4">
        <f t="shared" si="175"/>
        <v>-0.12279411207243848</v>
      </c>
      <c r="AS146" s="4">
        <f t="shared" si="176"/>
        <v>2.9416014949012123E-3</v>
      </c>
      <c r="AT146" s="4">
        <f t="shared" si="177"/>
        <v>1.038107130291283</v>
      </c>
      <c r="AU146" s="4">
        <f t="shared" si="178"/>
        <v>0.59946358577549297</v>
      </c>
      <c r="AV146" s="4">
        <f t="shared" si="179"/>
        <v>-4.4174456770741354E-3</v>
      </c>
      <c r="AW146" s="4">
        <f t="shared" si="180"/>
        <v>-6.2414708735346611</v>
      </c>
      <c r="AX146" s="4">
        <f t="shared" si="181"/>
        <v>-1.9096048333844888</v>
      </c>
      <c r="AY146" s="4">
        <f t="shared" si="182"/>
        <v>5.0764776045738058</v>
      </c>
      <c r="AZ146" s="4">
        <f t="shared" si="183"/>
        <v>42.470094958416617</v>
      </c>
      <c r="BA146" s="4">
        <f t="shared" si="184"/>
        <v>-0.20939453111160269</v>
      </c>
      <c r="BB146" s="4">
        <f t="shared" si="185"/>
        <v>-6.1651190191210645</v>
      </c>
      <c r="BC146" s="4">
        <f t="shared" si="186"/>
        <v>-3.9901425800700054</v>
      </c>
      <c r="BD146" s="4">
        <f t="shared" si="187"/>
        <v>12.168211808124832</v>
      </c>
      <c r="BE146" s="4">
        <f t="shared" si="188"/>
        <v>39.859148826844503</v>
      </c>
      <c r="BF146" s="4">
        <f t="shared" si="189"/>
        <v>-32.63838324926531</v>
      </c>
      <c r="BG146" s="4">
        <f t="shared" si="190"/>
        <v>-2.3284806992642912</v>
      </c>
      <c r="BH146" s="4">
        <f t="shared" si="191"/>
        <v>-45.652283647113443</v>
      </c>
      <c r="BI146" s="4">
        <f t="shared" si="192"/>
        <v>-6.8254716776195981</v>
      </c>
      <c r="BJ146" s="4">
        <f t="shared" si="193"/>
        <v>-208.73862848990527</v>
      </c>
      <c r="BK146" s="4">
        <f t="shared" si="194"/>
        <v>0.24188691613624191</v>
      </c>
      <c r="BL146" s="4">
        <f t="shared" si="195"/>
        <v>8.6695147485273001</v>
      </c>
      <c r="BM146" s="4">
        <f t="shared" si="196"/>
        <v>23.271361351329546</v>
      </c>
      <c r="BN146" s="4">
        <f t="shared" si="197"/>
        <v>-11.453208874052727</v>
      </c>
      <c r="BO146" s="4">
        <f t="shared" si="198"/>
        <v>-136.66738902060763</v>
      </c>
      <c r="BP146" s="4">
        <f t="shared" si="199"/>
        <v>-102.51722855098969</v>
      </c>
      <c r="BQ146" s="4">
        <f t="shared" si="200"/>
        <v>-8.4658218770649434</v>
      </c>
      <c r="BR146" s="4">
        <f t="shared" si="201"/>
        <v>55.815212208559977</v>
      </c>
      <c r="BS146" s="4">
        <f t="shared" si="202"/>
        <v>562.30840416906824</v>
      </c>
      <c r="BT146" s="4">
        <f t="shared" si="203"/>
        <v>2728.5808587030924</v>
      </c>
      <c r="BU146" s="4">
        <f t="shared" si="204"/>
        <v>1.8584858725441242</v>
      </c>
      <c r="BV146" s="4">
        <f t="shared" si="205"/>
        <v>35.023249035650409</v>
      </c>
      <c r="BW146" s="4">
        <f t="shared" si="206"/>
        <v>-218.55193060700194</v>
      </c>
      <c r="BX146" s="4">
        <f t="shared" si="207"/>
        <v>-1471.9053270158156</v>
      </c>
      <c r="BY146" s="4">
        <f t="shared" si="208"/>
        <v>-5150.3958127638225</v>
      </c>
      <c r="BZ146" s="6">
        <f t="shared" si="209"/>
        <v>-2.1117872407385221</v>
      </c>
      <c r="CA146" s="7"/>
      <c r="CB146" s="6">
        <v>-2.1117871503888641</v>
      </c>
      <c r="CC146" s="6"/>
    </row>
    <row r="147" spans="1:81" x14ac:dyDescent="0.3">
      <c r="A147" s="4">
        <v>145</v>
      </c>
      <c r="B147" s="4">
        <v>3842782</v>
      </c>
      <c r="C147" s="4">
        <v>2.8559999999999999</v>
      </c>
      <c r="D147" s="4">
        <v>4.6349999999999998</v>
      </c>
      <c r="E147" s="4">
        <v>0.58299999999999996</v>
      </c>
      <c r="F147" s="4">
        <v>3.9009999999999998</v>
      </c>
      <c r="H147" s="6">
        <v>-2618.81325553337</v>
      </c>
      <c r="I147" s="4">
        <f t="shared" si="140"/>
        <v>132.55496279759998</v>
      </c>
      <c r="J147" s="4">
        <f t="shared" si="141"/>
        <v>-2281.0144897350001</v>
      </c>
      <c r="K147" s="4">
        <f t="shared" si="142"/>
        <v>1381.0259077999999</v>
      </c>
      <c r="L147" s="4">
        <f t="shared" si="143"/>
        <v>12606.105374119999</v>
      </c>
      <c r="M147" s="4">
        <f t="shared" si="144"/>
        <v>31.516492649483517</v>
      </c>
      <c r="N147" s="4">
        <f t="shared" si="145"/>
        <v>33.487231194421192</v>
      </c>
      <c r="O147" s="4">
        <f t="shared" si="146"/>
        <v>-114.60543366518398</v>
      </c>
      <c r="P147" s="4">
        <f t="shared" si="147"/>
        <v>-427.18337421362389</v>
      </c>
      <c r="Q147" s="4">
        <f t="shared" si="148"/>
        <v>-257.81927018793749</v>
      </c>
      <c r="R147" s="4">
        <f t="shared" si="149"/>
        <v>488.98179147212988</v>
      </c>
      <c r="S147" s="4">
        <f t="shared" si="150"/>
        <v>7650.2071788165449</v>
      </c>
      <c r="T147" s="4">
        <f t="shared" si="151"/>
        <v>-141.07797398941398</v>
      </c>
      <c r="U147" s="4">
        <f t="shared" si="152"/>
        <v>-4675.9606672727296</v>
      </c>
      <c r="V147" s="4">
        <f t="shared" si="153"/>
        <v>-22624.269745757694</v>
      </c>
      <c r="W147" s="4">
        <f t="shared" si="154"/>
        <v>-0.84299867049404142</v>
      </c>
      <c r="X147" s="4">
        <f t="shared" si="155"/>
        <v>5.0164744856270476</v>
      </c>
      <c r="Y147" s="4">
        <f t="shared" si="156"/>
        <v>2.8284383504142054</v>
      </c>
      <c r="Z147" s="4">
        <f t="shared" si="157"/>
        <v>-83.451914559936213</v>
      </c>
      <c r="AA147" s="4">
        <f t="shared" si="158"/>
        <v>14.255348371374359</v>
      </c>
      <c r="AB147" s="4">
        <f t="shared" si="159"/>
        <v>-83.162097441270532</v>
      </c>
      <c r="AC147" s="4">
        <f t="shared" si="160"/>
        <v>1.7922534541692237</v>
      </c>
      <c r="AD147" s="4">
        <f t="shared" si="161"/>
        <v>79.64599024779676</v>
      </c>
      <c r="AE147" s="4">
        <f t="shared" si="162"/>
        <v>129.31154002380453</v>
      </c>
      <c r="AF147" s="4">
        <f t="shared" si="163"/>
        <v>519.18244005661131</v>
      </c>
      <c r="AG147" s="4">
        <f t="shared" si="164"/>
        <v>-43.107584795542721</v>
      </c>
      <c r="AH147" s="4">
        <f t="shared" si="165"/>
        <v>197.90693354460447</v>
      </c>
      <c r="AI147" s="4">
        <f t="shared" si="166"/>
        <v>403.96663771392429</v>
      </c>
      <c r="AJ147" s="4">
        <f t="shared" si="167"/>
        <v>-23.161205674081327</v>
      </c>
      <c r="AK147" s="4">
        <f t="shared" si="168"/>
        <v>-1308.8081461884203</v>
      </c>
      <c r="AL147" s="4">
        <f t="shared" si="169"/>
        <v>-8225.1567438451839</v>
      </c>
      <c r="AM147" s="4">
        <f t="shared" si="170"/>
        <v>-59.648543590646938</v>
      </c>
      <c r="AN147" s="4">
        <f t="shared" si="171"/>
        <v>428.7638082095832</v>
      </c>
      <c r="AO147" s="4">
        <f t="shared" si="172"/>
        <v>5303.5322711193166</v>
      </c>
      <c r="AP147" s="4">
        <f t="shared" si="173"/>
        <v>17778.390394735201</v>
      </c>
      <c r="AQ147" s="4">
        <f t="shared" si="174"/>
        <v>4.9099965014980911E-3</v>
      </c>
      <c r="AR147" s="4">
        <f t="shared" si="175"/>
        <v>-0.14798477043719449</v>
      </c>
      <c r="AS147" s="4">
        <f t="shared" si="176"/>
        <v>4.4560552120061145E-3</v>
      </c>
      <c r="AT147" s="4">
        <f t="shared" si="177"/>
        <v>1.2063423742337405</v>
      </c>
      <c r="AU147" s="4">
        <f t="shared" si="178"/>
        <v>0.71312803248256518</v>
      </c>
      <c r="AV147" s="4">
        <f t="shared" si="179"/>
        <v>-6.6054614837105716E-3</v>
      </c>
      <c r="AW147" s="4">
        <f t="shared" si="180"/>
        <v>-7.1594651377824112</v>
      </c>
      <c r="AX147" s="4">
        <f t="shared" si="181"/>
        <v>-3.5892416429851735</v>
      </c>
      <c r="AY147" s="4">
        <f t="shared" si="182"/>
        <v>7.3195326220548793</v>
      </c>
      <c r="AZ147" s="4">
        <f t="shared" si="183"/>
        <v>46.974892147002912</v>
      </c>
      <c r="BA147" s="4">
        <f t="shared" si="184"/>
        <v>-0.24588682402388881</v>
      </c>
      <c r="BB147" s="4">
        <f t="shared" si="185"/>
        <v>-9.0999421932400573</v>
      </c>
      <c r="BC147" s="4">
        <f t="shared" si="186"/>
        <v>-4.5180108180194472</v>
      </c>
      <c r="BD147" s="4">
        <f t="shared" si="187"/>
        <v>22.576217200884912</v>
      </c>
      <c r="BE147" s="4">
        <f t="shared" si="188"/>
        <v>56.730174280046434</v>
      </c>
      <c r="BF147" s="4">
        <f t="shared" si="189"/>
        <v>-35.634971735754355</v>
      </c>
      <c r="BG147" s="4">
        <f t="shared" si="190"/>
        <v>-5.430305987982031</v>
      </c>
      <c r="BH147" s="4">
        <f t="shared" si="191"/>
        <v>-81.672500085926998</v>
      </c>
      <c r="BI147" s="4">
        <f t="shared" si="192"/>
        <v>-9.3671547586197352</v>
      </c>
      <c r="BJ147" s="4">
        <f t="shared" si="193"/>
        <v>-219.75538987156841</v>
      </c>
      <c r="BK147" s="4">
        <f t="shared" si="194"/>
        <v>0.28038031652145323</v>
      </c>
      <c r="BL147" s="4">
        <f t="shared" si="195"/>
        <v>12.631565528887329</v>
      </c>
      <c r="BM147" s="4">
        <f t="shared" si="196"/>
        <v>26.01033004378257</v>
      </c>
      <c r="BN147" s="4">
        <f t="shared" si="197"/>
        <v>-20.975717067015101</v>
      </c>
      <c r="BO147" s="4">
        <f t="shared" si="198"/>
        <v>-192.00662604619598</v>
      </c>
      <c r="BP147" s="4">
        <f t="shared" si="199"/>
        <v>-110.48666359456509</v>
      </c>
      <c r="BQ147" s="4">
        <f t="shared" si="200"/>
        <v>-19.488840777420585</v>
      </c>
      <c r="BR147" s="4">
        <f t="shared" si="201"/>
        <v>98.566910610955759</v>
      </c>
      <c r="BS147" s="4">
        <f t="shared" si="202"/>
        <v>761.75413845630783</v>
      </c>
      <c r="BT147" s="4">
        <f t="shared" si="203"/>
        <v>2835.5594661867362</v>
      </c>
      <c r="BU147" s="4">
        <f t="shared" si="204"/>
        <v>5.3777844448870118</v>
      </c>
      <c r="BV147" s="4">
        <f t="shared" si="205"/>
        <v>77.743169480858896</v>
      </c>
      <c r="BW147" s="4">
        <f t="shared" si="206"/>
        <v>-372.15352825733004</v>
      </c>
      <c r="BX147" s="4">
        <f t="shared" si="207"/>
        <v>-1922.6890549946488</v>
      </c>
      <c r="BY147" s="4">
        <f t="shared" si="208"/>
        <v>-5160.9715707061832</v>
      </c>
      <c r="BZ147" s="6">
        <f t="shared" si="209"/>
        <v>-1.5580389117467348</v>
      </c>
      <c r="CA147" s="7"/>
      <c r="CB147" s="6">
        <v>-1.5580397751823509</v>
      </c>
      <c r="CC147" s="6"/>
    </row>
    <row r="148" spans="1:81" x14ac:dyDescent="0.3">
      <c r="A148" s="4">
        <v>146</v>
      </c>
      <c r="B148" s="4">
        <v>4507</v>
      </c>
      <c r="C148" s="4">
        <v>4.0309999999999997</v>
      </c>
      <c r="D148" s="4">
        <v>4.0540000000000003</v>
      </c>
      <c r="E148" s="4">
        <v>0.46100000000000002</v>
      </c>
      <c r="F148" s="4">
        <v>3.5049999999999999</v>
      </c>
      <c r="H148" s="6">
        <v>-2618.81325553337</v>
      </c>
      <c r="I148" s="4">
        <f t="shared" si="140"/>
        <v>187.09000526509999</v>
      </c>
      <c r="J148" s="4">
        <f t="shared" si="141"/>
        <v>-1995.0879700940002</v>
      </c>
      <c r="K148" s="4">
        <f t="shared" si="142"/>
        <v>1092.0290626000001</v>
      </c>
      <c r="L148" s="4">
        <f t="shared" si="143"/>
        <v>11326.4289506</v>
      </c>
      <c r="M148" s="4">
        <f t="shared" si="144"/>
        <v>62.783723773608017</v>
      </c>
      <c r="N148" s="4">
        <f t="shared" si="145"/>
        <v>41.339749571813982</v>
      </c>
      <c r="O148" s="4">
        <f t="shared" si="146"/>
        <v>-127.90637022542798</v>
      </c>
      <c r="P148" s="4">
        <f t="shared" si="147"/>
        <v>-541.72765763574489</v>
      </c>
      <c r="Q148" s="4">
        <f t="shared" si="148"/>
        <v>-197.23472843207003</v>
      </c>
      <c r="R148" s="4">
        <f t="shared" si="149"/>
        <v>338.18867783588399</v>
      </c>
      <c r="S148" s="4">
        <f t="shared" si="150"/>
        <v>6012.0041888820906</v>
      </c>
      <c r="T148" s="4">
        <f t="shared" si="151"/>
        <v>-88.211245760246001</v>
      </c>
      <c r="U148" s="4">
        <f t="shared" si="152"/>
        <v>-3322.1198179745502</v>
      </c>
      <c r="V148" s="4">
        <f t="shared" si="153"/>
        <v>-18264.118411942498</v>
      </c>
      <c r="W148" s="4">
        <f t="shared" si="154"/>
        <v>-2.3702310050418722</v>
      </c>
      <c r="X148" s="4">
        <f t="shared" si="155"/>
        <v>8.7406112265277578</v>
      </c>
      <c r="Y148" s="4">
        <f t="shared" si="156"/>
        <v>4.4554161821220806</v>
      </c>
      <c r="Z148" s="4">
        <f t="shared" si="157"/>
        <v>-149.36800030749535</v>
      </c>
      <c r="AA148" s="4">
        <f t="shared" si="158"/>
        <v>15.392190929145674</v>
      </c>
      <c r="AB148" s="4">
        <f t="shared" si="159"/>
        <v>-81.179506291801346</v>
      </c>
      <c r="AC148" s="4">
        <f t="shared" si="160"/>
        <v>1.9879254741142902</v>
      </c>
      <c r="AD148" s="4">
        <f t="shared" si="161"/>
        <v>70.288334477207641</v>
      </c>
      <c r="AE148" s="4">
        <f t="shared" si="162"/>
        <v>129.66904777069868</v>
      </c>
      <c r="AF148" s="4">
        <f t="shared" si="163"/>
        <v>591.5599100513424</v>
      </c>
      <c r="AG148" s="4">
        <f t="shared" si="164"/>
        <v>-28.844014737653982</v>
      </c>
      <c r="AH148" s="4">
        <f t="shared" si="165"/>
        <v>119.71853454963723</v>
      </c>
      <c r="AI148" s="4">
        <f t="shared" si="166"/>
        <v>277.66784095549531</v>
      </c>
      <c r="AJ148" s="4">
        <f t="shared" si="167"/>
        <v>-12.666595746986459</v>
      </c>
      <c r="AK148" s="4">
        <f t="shared" si="168"/>
        <v>-813.3068646408816</v>
      </c>
      <c r="AL148" s="4">
        <f t="shared" si="169"/>
        <v>-5807.6753702498263</v>
      </c>
      <c r="AM148" s="4">
        <f t="shared" si="170"/>
        <v>-29.491506371209027</v>
      </c>
      <c r="AN148" s="4">
        <f t="shared" si="171"/>
        <v>240.87677771657295</v>
      </c>
      <c r="AO148" s="4">
        <f t="shared" si="172"/>
        <v>3385.4915208351349</v>
      </c>
      <c r="AP148" s="4">
        <f t="shared" si="173"/>
        <v>12895.216993218821</v>
      </c>
      <c r="AQ148" s="4">
        <f t="shared" si="174"/>
        <v>1.9484961987148441E-2</v>
      </c>
      <c r="AR148" s="4">
        <f t="shared" si="175"/>
        <v>-0.36392744978839575</v>
      </c>
      <c r="AS148" s="4">
        <f t="shared" si="176"/>
        <v>9.9071039315402135E-3</v>
      </c>
      <c r="AT148" s="4">
        <f t="shared" si="177"/>
        <v>3.0475191291457424</v>
      </c>
      <c r="AU148" s="4">
        <f t="shared" si="178"/>
        <v>1.0867876896472268</v>
      </c>
      <c r="AV148" s="4">
        <f t="shared" si="179"/>
        <v>-9.1007824136657839E-3</v>
      </c>
      <c r="AW148" s="4">
        <f t="shared" si="180"/>
        <v>-11.208199347372037</v>
      </c>
      <c r="AX148" s="4">
        <f t="shared" si="181"/>
        <v>-4.4707113348810612</v>
      </c>
      <c r="AY148" s="4">
        <f t="shared" si="182"/>
        <v>10.359456793659993</v>
      </c>
      <c r="AZ148" s="4">
        <f t="shared" si="183"/>
        <v>75.543851979964003</v>
      </c>
      <c r="BA148" s="4">
        <f t="shared" si="184"/>
        <v>-0.23221585575091261</v>
      </c>
      <c r="BB148" s="4">
        <f t="shared" si="185"/>
        <v>-7.7695096590064514</v>
      </c>
      <c r="BC148" s="4">
        <f t="shared" si="186"/>
        <v>-4.3831057134343343</v>
      </c>
      <c r="BD148" s="4">
        <f t="shared" si="187"/>
        <v>17.426273138877537</v>
      </c>
      <c r="BE148" s="4">
        <f t="shared" si="188"/>
        <v>49.756195012089215</v>
      </c>
      <c r="BF148" s="4">
        <f t="shared" si="189"/>
        <v>-35.513147370623663</v>
      </c>
      <c r="BG148" s="4">
        <f t="shared" si="190"/>
        <v>-3.789448497491509</v>
      </c>
      <c r="BH148" s="4">
        <f t="shared" si="191"/>
        <v>-64.760062367267309</v>
      </c>
      <c r="BI148" s="4">
        <f t="shared" si="192"/>
        <v>-8.4395405675603214</v>
      </c>
      <c r="BJ148" s="4">
        <f t="shared" si="193"/>
        <v>-224.97297257412464</v>
      </c>
      <c r="BK148" s="4">
        <f t="shared" si="194"/>
        <v>0.16409054036605172</v>
      </c>
      <c r="BL148" s="4">
        <f t="shared" si="195"/>
        <v>6.6833094102255837</v>
      </c>
      <c r="BM148" s="4">
        <f t="shared" si="196"/>
        <v>15.637234629126645</v>
      </c>
      <c r="BN148" s="4">
        <f t="shared" si="197"/>
        <v>-10.03343333350986</v>
      </c>
      <c r="BO148" s="4">
        <f t="shared" si="198"/>
        <v>-104.35870244312422</v>
      </c>
      <c r="BP148" s="4">
        <f t="shared" si="199"/>
        <v>-68.234185994063552</v>
      </c>
      <c r="BQ148" s="4">
        <f t="shared" si="200"/>
        <v>-8.4278563623640821</v>
      </c>
      <c r="BR148" s="4">
        <f t="shared" si="201"/>
        <v>48.433066149754488</v>
      </c>
      <c r="BS148" s="4">
        <f t="shared" si="202"/>
        <v>425.30975394253045</v>
      </c>
      <c r="BT148" s="4">
        <f t="shared" si="203"/>
        <v>1798.9081170006766</v>
      </c>
      <c r="BU148" s="4">
        <f t="shared" si="204"/>
        <v>2.1024848407289389</v>
      </c>
      <c r="BV148" s="4">
        <f t="shared" si="205"/>
        <v>34.535951529145066</v>
      </c>
      <c r="BW148" s="4">
        <f t="shared" si="206"/>
        <v>-187.84992499098709</v>
      </c>
      <c r="BX148" s="4">
        <f t="shared" si="207"/>
        <v>-1102.751458046848</v>
      </c>
      <c r="BY148" s="4">
        <f t="shared" si="208"/>
        <v>-3363.4095635304238</v>
      </c>
      <c r="BZ148" s="6">
        <f t="shared" si="209"/>
        <v>-1.1456674026667315</v>
      </c>
      <c r="CA148" s="7"/>
      <c r="CB148" s="6">
        <v>-1.1456659414698149</v>
      </c>
      <c r="CC148" s="6"/>
    </row>
    <row r="149" spans="1:81" x14ac:dyDescent="0.3">
      <c r="A149" s="4">
        <v>147</v>
      </c>
      <c r="B149" s="4">
        <v>72735413</v>
      </c>
      <c r="C149" s="4">
        <v>2.492</v>
      </c>
      <c r="D149" s="4">
        <v>5.1710000000000003</v>
      </c>
      <c r="E149" s="4">
        <v>0.68300000000000005</v>
      </c>
      <c r="F149" s="4">
        <v>4.024</v>
      </c>
      <c r="H149" s="6">
        <v>-2618.81325553337</v>
      </c>
      <c r="I149" s="4">
        <f t="shared" si="140"/>
        <v>115.66070283320001</v>
      </c>
      <c r="J149" s="4">
        <f t="shared" si="141"/>
        <v>-2544.795237631</v>
      </c>
      <c r="K149" s="4">
        <f t="shared" si="142"/>
        <v>1617.9085678000001</v>
      </c>
      <c r="L149" s="4">
        <f t="shared" si="143"/>
        <v>13003.580626880001</v>
      </c>
      <c r="M149" s="4">
        <f t="shared" si="144"/>
        <v>23.994822979292483</v>
      </c>
      <c r="N149" s="4">
        <f t="shared" si="145"/>
        <v>32.598219119371635</v>
      </c>
      <c r="O149" s="4">
        <f t="shared" si="146"/>
        <v>-117.151321699888</v>
      </c>
      <c r="P149" s="4">
        <f t="shared" si="147"/>
        <v>-384.49101765603194</v>
      </c>
      <c r="Q149" s="4">
        <f t="shared" si="148"/>
        <v>-320.89649482325757</v>
      </c>
      <c r="R149" s="4">
        <f t="shared" si="149"/>
        <v>639.10120373869802</v>
      </c>
      <c r="S149" s="4">
        <f t="shared" si="150"/>
        <v>8803.9996713901692</v>
      </c>
      <c r="T149" s="4">
        <f t="shared" si="151"/>
        <v>-193.62592790101402</v>
      </c>
      <c r="U149" s="4">
        <f t="shared" si="152"/>
        <v>-5650.7360298815211</v>
      </c>
      <c r="V149" s="4">
        <f t="shared" si="153"/>
        <v>-24073.465496275199</v>
      </c>
      <c r="W149" s="4">
        <f t="shared" si="154"/>
        <v>-0.56001078934526882</v>
      </c>
      <c r="X149" s="4">
        <f t="shared" si="155"/>
        <v>4.2609170223254678</v>
      </c>
      <c r="Y149" s="4">
        <f t="shared" si="156"/>
        <v>2.5227751001214607</v>
      </c>
      <c r="Z149" s="4">
        <f t="shared" si="157"/>
        <v>-65.538726199369663</v>
      </c>
      <c r="AA149" s="4">
        <f t="shared" si="158"/>
        <v>15.481650839366095</v>
      </c>
      <c r="AB149" s="4">
        <f t="shared" si="159"/>
        <v>-94.840146745616551</v>
      </c>
      <c r="AC149" s="4">
        <f t="shared" si="160"/>
        <v>1.7996832805082115</v>
      </c>
      <c r="AD149" s="4">
        <f t="shared" si="161"/>
        <v>95.38016052064917</v>
      </c>
      <c r="AE149" s="4">
        <f t="shared" si="162"/>
        <v>136.35192997094063</v>
      </c>
      <c r="AF149" s="4">
        <f t="shared" si="163"/>
        <v>482.02978399255306</v>
      </c>
      <c r="AG149" s="4">
        <f t="shared" si="164"/>
        <v>-59.858811415247608</v>
      </c>
      <c r="AH149" s="4">
        <f t="shared" si="165"/>
        <v>288.57769302431325</v>
      </c>
      <c r="AI149" s="4">
        <f t="shared" si="166"/>
        <v>518.65326948801373</v>
      </c>
      <c r="AJ149" s="4">
        <f t="shared" si="167"/>
        <v>-35.464207578857135</v>
      </c>
      <c r="AK149" s="4">
        <f t="shared" si="168"/>
        <v>-1764.5540241163408</v>
      </c>
      <c r="AL149" s="4">
        <f t="shared" si="169"/>
        <v>-9764.1181439791781</v>
      </c>
      <c r="AM149" s="4">
        <f t="shared" si="170"/>
        <v>-95.908321613806578</v>
      </c>
      <c r="AN149" s="4">
        <f t="shared" si="171"/>
        <v>607.02201103986374</v>
      </c>
      <c r="AO149" s="4">
        <f t="shared" si="172"/>
        <v>6611.2169384450472</v>
      </c>
      <c r="AP149" s="4">
        <f t="shared" si="173"/>
        <v>19513.649671049079</v>
      </c>
      <c r="AQ149" s="4">
        <f t="shared" si="174"/>
        <v>2.8460368713190318E-3</v>
      </c>
      <c r="AR149" s="4">
        <f t="shared" si="175"/>
        <v>-0.10967593034467171</v>
      </c>
      <c r="AS149" s="4">
        <f t="shared" si="176"/>
        <v>3.4679451251601917E-3</v>
      </c>
      <c r="AT149" s="4">
        <f t="shared" si="177"/>
        <v>0.82665083658339422</v>
      </c>
      <c r="AU149" s="4">
        <f t="shared" si="178"/>
        <v>0.67576668415229713</v>
      </c>
      <c r="AV149" s="4">
        <f t="shared" si="179"/>
        <v>-6.5729417346084727E-3</v>
      </c>
      <c r="AW149" s="4">
        <f t="shared" si="180"/>
        <v>-6.2728812984334521</v>
      </c>
      <c r="AX149" s="4">
        <f t="shared" si="181"/>
        <v>-3.7504783731267559</v>
      </c>
      <c r="AY149" s="4">
        <f t="shared" si="182"/>
        <v>6.7343733711810323</v>
      </c>
      <c r="AZ149" s="4">
        <f t="shared" si="183"/>
        <v>38.054805351198709</v>
      </c>
      <c r="BA149" s="4">
        <f t="shared" si="184"/>
        <v>-0.29791988401215164</v>
      </c>
      <c r="BB149" s="4">
        <f t="shared" si="185"/>
        <v>-11.577911242411686</v>
      </c>
      <c r="BC149" s="4">
        <f t="shared" si="186"/>
        <v>-5.0613774014583157</v>
      </c>
      <c r="BD149" s="4">
        <f t="shared" si="187"/>
        <v>30.16269250593097</v>
      </c>
      <c r="BE149" s="4">
        <f t="shared" si="188"/>
        <v>66.736422594593719</v>
      </c>
      <c r="BF149" s="4">
        <f t="shared" si="189"/>
        <v>-36.910939229047059</v>
      </c>
      <c r="BG149" s="4">
        <f t="shared" si="190"/>
        <v>-7.6185195027569019</v>
      </c>
      <c r="BH149" s="4">
        <f t="shared" si="191"/>
        <v>-100.89090192938932</v>
      </c>
      <c r="BI149" s="4">
        <f t="shared" si="192"/>
        <v>-10.188581475012132</v>
      </c>
      <c r="BJ149" s="4">
        <f t="shared" si="193"/>
        <v>-210.4628444927402</v>
      </c>
      <c r="BK149" s="4">
        <f t="shared" si="194"/>
        <v>0.43435689393653787</v>
      </c>
      <c r="BL149" s="4">
        <f t="shared" si="195"/>
        <v>20.548670403463042</v>
      </c>
      <c r="BM149" s="4">
        <f t="shared" si="196"/>
        <v>37.256519660479519</v>
      </c>
      <c r="BN149" s="4">
        <f t="shared" si="197"/>
        <v>-35.83197222461709</v>
      </c>
      <c r="BO149" s="4">
        <f t="shared" si="198"/>
        <v>-288.80185969218837</v>
      </c>
      <c r="BP149" s="4">
        <f t="shared" si="199"/>
        <v>-146.32667402364649</v>
      </c>
      <c r="BQ149" s="4">
        <f t="shared" si="200"/>
        <v>-34.959664287976004</v>
      </c>
      <c r="BR149" s="4">
        <f t="shared" si="201"/>
        <v>155.68338417375625</v>
      </c>
      <c r="BS149" s="4">
        <f t="shared" si="202"/>
        <v>1059.389865542548</v>
      </c>
      <c r="BT149" s="4">
        <f t="shared" si="203"/>
        <v>3472.2391064623698</v>
      </c>
      <c r="BU149" s="4">
        <f t="shared" si="204"/>
        <v>10.130059268351058</v>
      </c>
      <c r="BV149" s="4">
        <f t="shared" si="205"/>
        <v>128.94387301801481</v>
      </c>
      <c r="BW149" s="4">
        <f t="shared" si="206"/>
        <v>-543.48865397220231</v>
      </c>
      <c r="BX149" s="4">
        <f t="shared" si="207"/>
        <v>-2472.3347218311751</v>
      </c>
      <c r="BY149" s="4">
        <f t="shared" si="208"/>
        <v>-5843.3184298870246</v>
      </c>
      <c r="BZ149" s="6">
        <f t="shared" si="209"/>
        <v>-1.4145941962733559</v>
      </c>
      <c r="CA149" s="7"/>
      <c r="CB149" s="6">
        <v>-1.4145971330017351</v>
      </c>
      <c r="CC149" s="6"/>
    </row>
    <row r="150" spans="1:81" x14ac:dyDescent="0.3">
      <c r="A150" s="4">
        <v>148</v>
      </c>
      <c r="B150" s="4">
        <v>4142281</v>
      </c>
      <c r="C150" s="4">
        <v>2.3730000000000002</v>
      </c>
      <c r="D150" s="4">
        <v>4.1429999999999998</v>
      </c>
      <c r="E150" s="4">
        <v>0.51300000000000001</v>
      </c>
      <c r="F150" s="4">
        <v>3.7440000000000002</v>
      </c>
      <c r="H150" s="6">
        <v>-2618.81325553337</v>
      </c>
      <c r="I150" s="4">
        <f t="shared" si="140"/>
        <v>110.13757938330001</v>
      </c>
      <c r="J150" s="4">
        <f t="shared" si="141"/>
        <v>-2038.887385323</v>
      </c>
      <c r="K150" s="4">
        <f t="shared" si="142"/>
        <v>1215.2080458</v>
      </c>
      <c r="L150" s="4">
        <f t="shared" si="143"/>
        <v>12098.75891328</v>
      </c>
      <c r="M150" s="4">
        <f t="shared" si="144"/>
        <v>21.757898715465785</v>
      </c>
      <c r="N150" s="4">
        <f t="shared" si="145"/>
        <v>24.870468730168529</v>
      </c>
      <c r="O150" s="4">
        <f t="shared" si="146"/>
        <v>-83.790263143692002</v>
      </c>
      <c r="P150" s="4">
        <f t="shared" si="147"/>
        <v>-340.65421478524803</v>
      </c>
      <c r="Q150" s="4">
        <f t="shared" si="148"/>
        <v>-205.98982295991746</v>
      </c>
      <c r="R150" s="4">
        <f t="shared" si="149"/>
        <v>384.59770866437395</v>
      </c>
      <c r="S150" s="4">
        <f t="shared" si="150"/>
        <v>6562.9376934488646</v>
      </c>
      <c r="T150" s="4">
        <f t="shared" si="151"/>
        <v>-109.23374789069399</v>
      </c>
      <c r="U150" s="4">
        <f t="shared" si="152"/>
        <v>-3948.9310374883207</v>
      </c>
      <c r="V150" s="4">
        <f t="shared" si="153"/>
        <v>-20839.8385308672</v>
      </c>
      <c r="W150" s="4">
        <f t="shared" si="154"/>
        <v>-0.48355457327015128</v>
      </c>
      <c r="X150" s="4">
        <f t="shared" si="155"/>
        <v>3.0955859921196311</v>
      </c>
      <c r="Y150" s="4">
        <f t="shared" si="156"/>
        <v>1.7182034935441244</v>
      </c>
      <c r="Z150" s="4">
        <f t="shared" si="157"/>
        <v>-55.293650705679958</v>
      </c>
      <c r="AA150" s="4">
        <f t="shared" si="158"/>
        <v>9.4634122571005879</v>
      </c>
      <c r="AB150" s="4">
        <f t="shared" si="159"/>
        <v>-54.347425324035449</v>
      </c>
      <c r="AC150" s="4">
        <f t="shared" si="160"/>
        <v>1.2775092275164199</v>
      </c>
      <c r="AD150" s="4">
        <f t="shared" si="161"/>
        <v>51.239050353680227</v>
      </c>
      <c r="AE150" s="4">
        <f t="shared" si="162"/>
        <v>90.73723042495503</v>
      </c>
      <c r="AF150" s="4">
        <f t="shared" si="163"/>
        <v>397.35557423784081</v>
      </c>
      <c r="AG150" s="4">
        <f t="shared" si="164"/>
        <v>-30.785717201298613</v>
      </c>
      <c r="AH150" s="4">
        <f t="shared" si="165"/>
        <v>139.13622296673964</v>
      </c>
      <c r="AI150" s="4">
        <f t="shared" si="166"/>
        <v>309.76744882407235</v>
      </c>
      <c r="AJ150" s="4">
        <f t="shared" si="167"/>
        <v>-16.029647743221307</v>
      </c>
      <c r="AK150" s="4">
        <f t="shared" si="168"/>
        <v>-987.98393844748909</v>
      </c>
      <c r="AL150" s="4">
        <f t="shared" si="169"/>
        <v>-6772.1903599420666</v>
      </c>
      <c r="AM150" s="4">
        <f t="shared" si="170"/>
        <v>-40.639305286314034</v>
      </c>
      <c r="AN150" s="4">
        <f t="shared" si="171"/>
        <v>318.62190512542662</v>
      </c>
      <c r="AO150" s="4">
        <f t="shared" si="172"/>
        <v>4298.6670222642842</v>
      </c>
      <c r="AP150" s="4">
        <f t="shared" si="173"/>
        <v>15717.088835658846</v>
      </c>
      <c r="AQ150" s="4">
        <f t="shared" si="174"/>
        <v>2.3401264378649467E-3</v>
      </c>
      <c r="AR150" s="4">
        <f t="shared" si="175"/>
        <v>-7.5875370243934023E-2</v>
      </c>
      <c r="AS150" s="4">
        <f t="shared" si="176"/>
        <v>2.2491477142370852E-3</v>
      </c>
      <c r="AT150" s="4">
        <f t="shared" si="177"/>
        <v>0.66412385215745806</v>
      </c>
      <c r="AU150" s="4">
        <f t="shared" si="178"/>
        <v>0.3933480200090147</v>
      </c>
      <c r="AV150" s="4">
        <f t="shared" si="179"/>
        <v>-3.5867098043461643E-3</v>
      </c>
      <c r="AW150" s="4">
        <f t="shared" si="180"/>
        <v>-4.2401842982858611</v>
      </c>
      <c r="AX150" s="4">
        <f t="shared" si="181"/>
        <v>-1.918577684641209</v>
      </c>
      <c r="AY150" s="4">
        <f t="shared" si="182"/>
        <v>4.2674763310849739</v>
      </c>
      <c r="AZ150" s="4">
        <f t="shared" si="183"/>
        <v>29.872023439548343</v>
      </c>
      <c r="BA150" s="4">
        <f t="shared" si="184"/>
        <v>-0.14590506789626398</v>
      </c>
      <c r="BB150" s="4">
        <f t="shared" si="185"/>
        <v>-5.3156621269040656</v>
      </c>
      <c r="BC150" s="4">
        <f t="shared" si="186"/>
        <v>-2.8785718959195963</v>
      </c>
      <c r="BD150" s="4">
        <f t="shared" si="187"/>
        <v>12.982356335120677</v>
      </c>
      <c r="BE150" s="4">
        <f t="shared" si="188"/>
        <v>35.581769976731557</v>
      </c>
      <c r="BF150" s="4">
        <f t="shared" si="189"/>
        <v>-24.378160280893308</v>
      </c>
      <c r="BG150" s="4">
        <f t="shared" si="190"/>
        <v>-3.0740453358608715</v>
      </c>
      <c r="BH150" s="4">
        <f t="shared" si="191"/>
        <v>-50.428133699322728</v>
      </c>
      <c r="BI150" s="4">
        <f t="shared" si="192"/>
        <v>-6.3083505746497135</v>
      </c>
      <c r="BJ150" s="4">
        <f t="shared" si="193"/>
        <v>-161.42051927366887</v>
      </c>
      <c r="BK150" s="4">
        <f t="shared" si="194"/>
        <v>0.17898156489994793</v>
      </c>
      <c r="BL150" s="4">
        <f t="shared" si="195"/>
        <v>7.9378259895984007</v>
      </c>
      <c r="BM150" s="4">
        <f t="shared" si="196"/>
        <v>17.827947117419008</v>
      </c>
      <c r="BN150" s="4">
        <f t="shared" si="197"/>
        <v>-12.976119210257055</v>
      </c>
      <c r="BO150" s="4">
        <f t="shared" si="198"/>
        <v>-129.55533629350279</v>
      </c>
      <c r="BP150" s="4">
        <f t="shared" si="199"/>
        <v>-81.313008227962925</v>
      </c>
      <c r="BQ150" s="4">
        <f t="shared" si="200"/>
        <v>-11.868549169360353</v>
      </c>
      <c r="BR150" s="4">
        <f t="shared" si="201"/>
        <v>65.471735008091159</v>
      </c>
      <c r="BS150" s="4">
        <f t="shared" si="202"/>
        <v>551.88502125779689</v>
      </c>
      <c r="BT150" s="4">
        <f t="shared" si="203"/>
        <v>2240.6995329965821</v>
      </c>
      <c r="BU150" s="4">
        <f t="shared" si="204"/>
        <v>3.2240267166702097</v>
      </c>
      <c r="BV150" s="4">
        <f t="shared" si="205"/>
        <v>50.835671315603143</v>
      </c>
      <c r="BW150" s="4">
        <f t="shared" si="206"/>
        <v>-265.42360344970075</v>
      </c>
      <c r="BX150" s="4">
        <f t="shared" si="207"/>
        <v>-1495.676030210135</v>
      </c>
      <c r="BY150" s="4">
        <f t="shared" si="208"/>
        <v>-4378.9604806226234</v>
      </c>
      <c r="BZ150" s="6">
        <f t="shared" si="209"/>
        <v>-1.5898186726853965</v>
      </c>
      <c r="CA150" s="7"/>
      <c r="CB150" s="6">
        <v>-1.5898175090942459</v>
      </c>
      <c r="CC150" s="6"/>
    </row>
    <row r="151" spans="1:81" x14ac:dyDescent="0.3">
      <c r="A151" s="4">
        <v>149</v>
      </c>
      <c r="B151" s="4">
        <v>122187927</v>
      </c>
      <c r="C151" s="4">
        <v>7.9850000000000003</v>
      </c>
      <c r="D151" s="4">
        <v>3.5720000000000001</v>
      </c>
      <c r="E151" s="4">
        <v>0.47299999999999998</v>
      </c>
      <c r="F151" s="4">
        <v>2.93</v>
      </c>
      <c r="H151" s="6">
        <v>-2618.81325553337</v>
      </c>
      <c r="I151" s="4">
        <f t="shared" si="140"/>
        <v>370.6062247685</v>
      </c>
      <c r="J151" s="4">
        <f t="shared" si="141"/>
        <v>-1757.882148292</v>
      </c>
      <c r="K151" s="4">
        <f t="shared" si="142"/>
        <v>1120.4549817999998</v>
      </c>
      <c r="L151" s="4">
        <f t="shared" si="143"/>
        <v>9468.3129316000013</v>
      </c>
      <c r="M151" s="4">
        <f t="shared" si="144"/>
        <v>246.36063525188453</v>
      </c>
      <c r="N151" s="4">
        <f t="shared" si="145"/>
        <v>72.153544366513401</v>
      </c>
      <c r="O151" s="4">
        <f t="shared" si="146"/>
        <v>-259.96477905574</v>
      </c>
      <c r="P151" s="4">
        <f t="shared" si="147"/>
        <v>-897.06255580795005</v>
      </c>
      <c r="Q151" s="4">
        <f t="shared" si="148"/>
        <v>-153.12242491868003</v>
      </c>
      <c r="R151" s="4">
        <f t="shared" si="149"/>
        <v>305.73628561581597</v>
      </c>
      <c r="S151" s="4">
        <f t="shared" si="150"/>
        <v>4428.1933808473204</v>
      </c>
      <c r="T151" s="4">
        <f t="shared" si="151"/>
        <v>-92.863358457253995</v>
      </c>
      <c r="U151" s="4">
        <f t="shared" si="152"/>
        <v>-2849.4110579759003</v>
      </c>
      <c r="V151" s="4">
        <f t="shared" si="153"/>
        <v>-12763.151084730001</v>
      </c>
      <c r="W151" s="4">
        <f t="shared" si="154"/>
        <v>-18.423707999533963</v>
      </c>
      <c r="X151" s="4">
        <f t="shared" si="155"/>
        <v>30.219950886835008</v>
      </c>
      <c r="Y151" s="4">
        <f t="shared" si="156"/>
        <v>17.937947056608113</v>
      </c>
      <c r="Z151" s="4">
        <f t="shared" si="157"/>
        <v>-489.96088399079883</v>
      </c>
      <c r="AA151" s="4">
        <f t="shared" si="158"/>
        <v>23.671074695930994</v>
      </c>
      <c r="AB151" s="4">
        <f t="shared" si="159"/>
        <v>-145.37724997421043</v>
      </c>
      <c r="AC151" s="4">
        <f t="shared" si="160"/>
        <v>2.9004776627451183</v>
      </c>
      <c r="AD151" s="4">
        <f t="shared" si="161"/>
        <v>146.5769921966866</v>
      </c>
      <c r="AE151" s="4">
        <f t="shared" si="162"/>
        <v>220.31205290156421</v>
      </c>
      <c r="AF151" s="4">
        <f t="shared" si="163"/>
        <v>818.87960111596203</v>
      </c>
      <c r="AG151" s="4">
        <f t="shared" si="164"/>
        <v>-19.730533406116358</v>
      </c>
      <c r="AH151" s="4">
        <f t="shared" si="165"/>
        <v>95.36236633138698</v>
      </c>
      <c r="AI151" s="4">
        <f t="shared" si="166"/>
        <v>180.20240928259156</v>
      </c>
      <c r="AJ151" s="4">
        <f t="shared" si="167"/>
        <v>-11.749193243384854</v>
      </c>
      <c r="AK151" s="4">
        <f t="shared" si="168"/>
        <v>-614.64160917758898</v>
      </c>
      <c r="AL151" s="4">
        <f t="shared" si="169"/>
        <v>-3575.9318605641938</v>
      </c>
      <c r="AM151" s="4">
        <f t="shared" si="170"/>
        <v>-31.854999464400592</v>
      </c>
      <c r="AN151" s="4">
        <f t="shared" si="171"/>
        <v>211.98003601252685</v>
      </c>
      <c r="AO151" s="4">
        <f t="shared" si="172"/>
        <v>2427.3988500856208</v>
      </c>
      <c r="AP151" s="4">
        <f t="shared" si="173"/>
        <v>7532.9910031743784</v>
      </c>
      <c r="AQ151" s="4">
        <f t="shared" si="174"/>
        <v>0.30001851158591158</v>
      </c>
      <c r="AR151" s="4">
        <f t="shared" si="175"/>
        <v>-2.4924639580806351</v>
      </c>
      <c r="AS151" s="4">
        <f t="shared" si="176"/>
        <v>7.9012044806053408E-2</v>
      </c>
      <c r="AT151" s="4">
        <f t="shared" si="177"/>
        <v>19.802152709408318</v>
      </c>
      <c r="AU151" s="4">
        <f t="shared" si="178"/>
        <v>3.3107345936530344</v>
      </c>
      <c r="AV151" s="4">
        <f t="shared" si="179"/>
        <v>-3.2284264517841908E-2</v>
      </c>
      <c r="AW151" s="4">
        <f t="shared" si="180"/>
        <v>-32.394210146105081</v>
      </c>
      <c r="AX151" s="4">
        <f t="shared" si="181"/>
        <v>-18.468061178946385</v>
      </c>
      <c r="AY151" s="4">
        <f t="shared" si="182"/>
        <v>34.865912946430669</v>
      </c>
      <c r="AZ151" s="4">
        <f t="shared" si="183"/>
        <v>207.14886900464629</v>
      </c>
      <c r="BA151" s="4">
        <f t="shared" si="184"/>
        <v>-0.31465679158350823</v>
      </c>
      <c r="BB151" s="4">
        <f t="shared" si="185"/>
        <v>-12.25946054645741</v>
      </c>
      <c r="BC151" s="4">
        <f t="shared" si="186"/>
        <v>-5.6348074140071107</v>
      </c>
      <c r="BD151" s="4">
        <f t="shared" si="187"/>
        <v>32.019516944802007</v>
      </c>
      <c r="BE151" s="4">
        <f t="shared" si="188"/>
        <v>74.486368781030791</v>
      </c>
      <c r="BF151" s="4">
        <f t="shared" si="189"/>
        <v>-43.314986946884147</v>
      </c>
      <c r="BG151" s="4">
        <f t="shared" si="190"/>
        <v>-8.1080940432937201</v>
      </c>
      <c r="BH151" s="4">
        <f t="shared" si="191"/>
        <v>-112.89362265902462</v>
      </c>
      <c r="BI151" s="4">
        <f t="shared" si="192"/>
        <v>-11.98671939828456</v>
      </c>
      <c r="BJ151" s="4">
        <f t="shared" si="193"/>
        <v>-260.33422291573874</v>
      </c>
      <c r="BK151" s="4">
        <f t="shared" si="194"/>
        <v>9.8899562091401508E-2</v>
      </c>
      <c r="BL151" s="4">
        <f t="shared" si="195"/>
        <v>4.6906702186385836</v>
      </c>
      <c r="BM151" s="4">
        <f t="shared" si="196"/>
        <v>8.9417529822109891</v>
      </c>
      <c r="BN151" s="4">
        <f t="shared" si="197"/>
        <v>-8.2002182583793264</v>
      </c>
      <c r="BO151" s="4">
        <f t="shared" si="198"/>
        <v>-69.490253458434367</v>
      </c>
      <c r="BP151" s="4">
        <f t="shared" si="199"/>
        <v>-37.018312965908486</v>
      </c>
      <c r="BQ151" s="4">
        <f t="shared" si="200"/>
        <v>-8.0209438690246859</v>
      </c>
      <c r="BR151" s="4">
        <f t="shared" si="201"/>
        <v>37.555167073168612</v>
      </c>
      <c r="BS151" s="4">
        <f t="shared" si="202"/>
        <v>268.69059195768119</v>
      </c>
      <c r="BT151" s="4">
        <f t="shared" si="203"/>
        <v>925.92429900739364</v>
      </c>
      <c r="BU151" s="4">
        <f t="shared" si="204"/>
        <v>2.3300955718623699</v>
      </c>
      <c r="BV151" s="4">
        <f t="shared" si="205"/>
        <v>31.183989117642039</v>
      </c>
      <c r="BW151" s="4">
        <f t="shared" si="206"/>
        <v>-138.19446623163299</v>
      </c>
      <c r="BX151" s="4">
        <f t="shared" si="207"/>
        <v>-660.96224108777596</v>
      </c>
      <c r="BY151" s="4">
        <f t="shared" si="208"/>
        <v>-1642.4726514645772</v>
      </c>
      <c r="BZ151" s="6">
        <f t="shared" si="209"/>
        <v>-0.85458350985618381</v>
      </c>
      <c r="CA151" s="7"/>
      <c r="CB151" s="6">
        <v>-0.85458240059142554</v>
      </c>
      <c r="CC151" s="6"/>
    </row>
    <row r="152" spans="1:81" x14ac:dyDescent="0.3">
      <c r="A152" s="4">
        <v>150</v>
      </c>
      <c r="B152" s="4">
        <v>76313504</v>
      </c>
      <c r="C152" s="4">
        <v>3.0510000000000002</v>
      </c>
      <c r="D152" s="4">
        <v>4.5949999999999998</v>
      </c>
      <c r="E152" s="4">
        <v>0.56299999999999994</v>
      </c>
      <c r="F152" s="4">
        <v>3.8210000000000002</v>
      </c>
      <c r="H152" s="6">
        <v>-2618.81325553337</v>
      </c>
      <c r="I152" s="4">
        <f t="shared" si="140"/>
        <v>141.60545920710001</v>
      </c>
      <c r="J152" s="4">
        <f t="shared" si="141"/>
        <v>-2261.3293592949999</v>
      </c>
      <c r="K152" s="4">
        <f t="shared" si="142"/>
        <v>1333.6493757999997</v>
      </c>
      <c r="L152" s="4">
        <f t="shared" si="143"/>
        <v>12347.58488452</v>
      </c>
      <c r="M152" s="4">
        <f t="shared" si="144"/>
        <v>35.967138692912826</v>
      </c>
      <c r="N152" s="4">
        <f t="shared" si="145"/>
        <v>35.464923083208149</v>
      </c>
      <c r="O152" s="4">
        <f t="shared" si="146"/>
        <v>-118.23037130300398</v>
      </c>
      <c r="P152" s="4">
        <f t="shared" si="147"/>
        <v>-446.99167400220904</v>
      </c>
      <c r="Q152" s="4">
        <f t="shared" si="148"/>
        <v>-253.38851667893749</v>
      </c>
      <c r="R152" s="4">
        <f t="shared" si="149"/>
        <v>468.1319736332099</v>
      </c>
      <c r="S152" s="4">
        <f t="shared" si="150"/>
        <v>7428.6528080806647</v>
      </c>
      <c r="T152" s="4">
        <f t="shared" si="151"/>
        <v>-131.56455294949396</v>
      </c>
      <c r="U152" s="4">
        <f t="shared" si="152"/>
        <v>-4422.94742322413</v>
      </c>
      <c r="V152" s="4">
        <f t="shared" si="153"/>
        <v>-21705.847374605699</v>
      </c>
      <c r="W152" s="4">
        <f t="shared" si="154"/>
        <v>-1.0277296907111959</v>
      </c>
      <c r="X152" s="4">
        <f t="shared" si="155"/>
        <v>5.6754773398797385</v>
      </c>
      <c r="Y152" s="4">
        <f t="shared" si="156"/>
        <v>3.1171274979549146</v>
      </c>
      <c r="Z152" s="4">
        <f t="shared" si="157"/>
        <v>-93.283622160401691</v>
      </c>
      <c r="AA152" s="4">
        <f t="shared" si="158"/>
        <v>14.966952972187325</v>
      </c>
      <c r="AB152" s="4">
        <f t="shared" si="159"/>
        <v>-85.052102923190077</v>
      </c>
      <c r="AC152" s="4">
        <f t="shared" si="160"/>
        <v>1.8591751042548108</v>
      </c>
      <c r="AD152" s="4">
        <f t="shared" si="161"/>
        <v>79.34646827378225</v>
      </c>
      <c r="AE152" s="4">
        <f t="shared" si="162"/>
        <v>130.66588549797504</v>
      </c>
      <c r="AF152" s="4">
        <f t="shared" si="163"/>
        <v>532.11582446300702</v>
      </c>
      <c r="AG152" s="4">
        <f t="shared" si="164"/>
        <v>-42.001134647343413</v>
      </c>
      <c r="AH152" s="4">
        <f t="shared" si="165"/>
        <v>187.8332202856347</v>
      </c>
      <c r="AI152" s="4">
        <f t="shared" si="166"/>
        <v>388.88226850617701</v>
      </c>
      <c r="AJ152" s="4">
        <f t="shared" si="167"/>
        <v>-21.412955802764078</v>
      </c>
      <c r="AK152" s="4">
        <f t="shared" si="168"/>
        <v>-1227.305538708036</v>
      </c>
      <c r="AL152" s="4">
        <f t="shared" si="169"/>
        <v>-7823.1586007263222</v>
      </c>
      <c r="AM152" s="4">
        <f t="shared" si="170"/>
        <v>-53.71794181365982</v>
      </c>
      <c r="AN152" s="4">
        <f t="shared" si="171"/>
        <v>391.650682021308</v>
      </c>
      <c r="AO152" s="4">
        <f t="shared" si="172"/>
        <v>4913.6840811727225</v>
      </c>
      <c r="AP152" s="4">
        <f t="shared" si="173"/>
        <v>16706.893368795416</v>
      </c>
      <c r="AQ152" s="4">
        <f t="shared" si="174"/>
        <v>6.394656209426035E-3</v>
      </c>
      <c r="AR152" s="4">
        <f t="shared" si="175"/>
        <v>-0.17885653545477262</v>
      </c>
      <c r="AS152" s="4">
        <f t="shared" si="176"/>
        <v>5.2461706926680866E-3</v>
      </c>
      <c r="AT152" s="4">
        <f t="shared" si="177"/>
        <v>1.4405345674940107</v>
      </c>
      <c r="AU152" s="4">
        <f t="shared" si="178"/>
        <v>0.79984727971434844</v>
      </c>
      <c r="AV152" s="4">
        <f t="shared" si="179"/>
        <v>-7.2168352477317678E-3</v>
      </c>
      <c r="AW152" s="4">
        <f t="shared" si="180"/>
        <v>-7.9338768010710474</v>
      </c>
      <c r="AX152" s="4">
        <f t="shared" si="181"/>
        <v>-3.8198858683239383</v>
      </c>
      <c r="AY152" s="4">
        <f t="shared" si="182"/>
        <v>7.9011860311713429</v>
      </c>
      <c r="AZ152" s="4">
        <f t="shared" si="183"/>
        <v>51.432303495290277</v>
      </c>
      <c r="BA152" s="4">
        <f t="shared" si="184"/>
        <v>-0.25593318050396058</v>
      </c>
      <c r="BB152" s="4">
        <f t="shared" si="185"/>
        <v>-9.2264372545059281</v>
      </c>
      <c r="BC152" s="4">
        <f t="shared" si="186"/>
        <v>-4.646264322632879</v>
      </c>
      <c r="BD152" s="4">
        <f t="shared" si="187"/>
        <v>22.297215775731935</v>
      </c>
      <c r="BE152" s="4">
        <f t="shared" si="188"/>
        <v>56.82962980478375</v>
      </c>
      <c r="BF152" s="4">
        <f t="shared" si="189"/>
        <v>-36.207486314598285</v>
      </c>
      <c r="BG152" s="4">
        <f t="shared" si="190"/>
        <v>-5.2242966187129634</v>
      </c>
      <c r="BH152" s="4">
        <f t="shared" si="191"/>
        <v>-79.69675196671939</v>
      </c>
      <c r="BI152" s="4">
        <f t="shared" si="192"/>
        <v>-9.2711522874120487</v>
      </c>
      <c r="BJ152" s="4">
        <f t="shared" si="193"/>
        <v>-220.61081668272027</v>
      </c>
      <c r="BK152" s="4">
        <f t="shared" si="194"/>
        <v>0.27082617163728895</v>
      </c>
      <c r="BL152" s="4">
        <f t="shared" si="195"/>
        <v>11.885141351820916</v>
      </c>
      <c r="BM152" s="4">
        <f t="shared" si="196"/>
        <v>24.823000845542129</v>
      </c>
      <c r="BN152" s="4">
        <f t="shared" si="197"/>
        <v>-19.225075367571389</v>
      </c>
      <c r="BO152" s="4">
        <f t="shared" si="198"/>
        <v>-178.49608628385465</v>
      </c>
      <c r="BP152" s="4">
        <f t="shared" si="199"/>
        <v>-104.17981657722945</v>
      </c>
      <c r="BQ152" s="4">
        <f t="shared" si="200"/>
        <v>-17.399681754723709</v>
      </c>
      <c r="BR152" s="4">
        <f t="shared" si="201"/>
        <v>89.258110583178436</v>
      </c>
      <c r="BS152" s="4">
        <f t="shared" si="202"/>
        <v>699.6689713623183</v>
      </c>
      <c r="BT152" s="4">
        <f t="shared" si="203"/>
        <v>2641.6653452943328</v>
      </c>
      <c r="BU152" s="4">
        <f t="shared" si="204"/>
        <v>4.6769502582665377</v>
      </c>
      <c r="BV152" s="4">
        <f t="shared" si="205"/>
        <v>68.577689656688278</v>
      </c>
      <c r="BW152" s="4">
        <f t="shared" si="206"/>
        <v>-332.96914863931846</v>
      </c>
      <c r="BX152" s="4">
        <f t="shared" si="207"/>
        <v>-1744.8261292143859</v>
      </c>
      <c r="BY152" s="4">
        <f t="shared" si="208"/>
        <v>-4750.4616482386245</v>
      </c>
      <c r="BZ152" s="6">
        <f t="shared" si="209"/>
        <v>-1.4232265556147468</v>
      </c>
      <c r="CA152" s="7"/>
      <c r="CB152" s="6">
        <v>-1.4232269399085451</v>
      </c>
      <c r="CC152" s="6"/>
    </row>
    <row r="153" spans="1:81" x14ac:dyDescent="0.3">
      <c r="A153" s="4">
        <v>151</v>
      </c>
      <c r="B153" s="4">
        <v>38943761</v>
      </c>
      <c r="C153" s="4">
        <v>2.831</v>
      </c>
      <c r="D153" s="4">
        <v>4.5289999999999999</v>
      </c>
      <c r="E153" s="4">
        <v>0.61499999999999999</v>
      </c>
      <c r="F153" s="4">
        <v>3.806</v>
      </c>
      <c r="H153" s="6">
        <v>-2618.81325553337</v>
      </c>
      <c r="I153" s="4">
        <f t="shared" si="140"/>
        <v>131.39464274509999</v>
      </c>
      <c r="J153" s="4">
        <f t="shared" si="141"/>
        <v>-2228.8488940689999</v>
      </c>
      <c r="K153" s="4">
        <f t="shared" si="142"/>
        <v>1456.8283589999999</v>
      </c>
      <c r="L153" s="4">
        <f t="shared" si="143"/>
        <v>12299.112292719999</v>
      </c>
      <c r="M153" s="4">
        <f t="shared" si="144"/>
        <v>30.967148237400025</v>
      </c>
      <c r="N153" s="4">
        <f t="shared" si="145"/>
        <v>32.434969132918731</v>
      </c>
      <c r="O153" s="4">
        <f t="shared" si="146"/>
        <v>-119.83769198501999</v>
      </c>
      <c r="P153" s="4">
        <f t="shared" si="147"/>
        <v>-413.13200593449398</v>
      </c>
      <c r="Q153" s="4">
        <f t="shared" si="148"/>
        <v>-246.16173208775751</v>
      </c>
      <c r="R153" s="4">
        <f t="shared" si="149"/>
        <v>504.02471246630995</v>
      </c>
      <c r="S153" s="4">
        <f t="shared" si="150"/>
        <v>7293.2082150122578</v>
      </c>
      <c r="T153" s="4">
        <f t="shared" si="151"/>
        <v>-156.99012534134999</v>
      </c>
      <c r="U153" s="4">
        <f t="shared" si="152"/>
        <v>-4812.4944759639011</v>
      </c>
      <c r="V153" s="4">
        <f t="shared" si="153"/>
        <v>-21535.7617242372</v>
      </c>
      <c r="W153" s="4">
        <f t="shared" si="154"/>
        <v>-0.82105431619516234</v>
      </c>
      <c r="X153" s="4">
        <f t="shared" si="155"/>
        <v>4.8163109990738171</v>
      </c>
      <c r="Y153" s="4">
        <f t="shared" si="156"/>
        <v>2.9316803134440357</v>
      </c>
      <c r="Z153" s="4">
        <f t="shared" si="157"/>
        <v>-80.000457555281912</v>
      </c>
      <c r="AA153" s="4">
        <f t="shared" si="158"/>
        <v>13.491637558082326</v>
      </c>
      <c r="AB153" s="4">
        <f t="shared" si="159"/>
        <v>-84.970122363473919</v>
      </c>
      <c r="AC153" s="4">
        <f t="shared" si="160"/>
        <v>1.6936610820548443</v>
      </c>
      <c r="AD153" s="4">
        <f t="shared" si="161"/>
        <v>87.853426469018132</v>
      </c>
      <c r="AE153" s="4">
        <f t="shared" si="162"/>
        <v>131.92233962096606</v>
      </c>
      <c r="AF153" s="4">
        <f t="shared" si="163"/>
        <v>489.87731490732835</v>
      </c>
      <c r="AG153" s="4">
        <f t="shared" si="164"/>
        <v>-40.217163596029238</v>
      </c>
      <c r="AH153" s="4">
        <f t="shared" si="165"/>
        <v>199.33003137961634</v>
      </c>
      <c r="AI153" s="4">
        <f t="shared" si="166"/>
        <v>376.30804029900918</v>
      </c>
      <c r="AJ153" s="4">
        <f t="shared" si="167"/>
        <v>-25.184125065301014</v>
      </c>
      <c r="AK153" s="4">
        <f t="shared" si="168"/>
        <v>-1316.21842605342</v>
      </c>
      <c r="AL153" s="4">
        <f t="shared" si="169"/>
        <v>-7650.3698702919846</v>
      </c>
      <c r="AM153" s="4">
        <f t="shared" si="170"/>
        <v>-70.019584164499491</v>
      </c>
      <c r="AN153" s="4">
        <f t="shared" si="171"/>
        <v>465.50470541069382</v>
      </c>
      <c r="AO153" s="4">
        <f t="shared" si="172"/>
        <v>5325.4638882840836</v>
      </c>
      <c r="AP153" s="4">
        <f t="shared" si="173"/>
        <v>16510.907317517747</v>
      </c>
      <c r="AQ153" s="4">
        <f t="shared" si="174"/>
        <v>4.7403220474074755E-3</v>
      </c>
      <c r="AR153" s="4">
        <f t="shared" si="175"/>
        <v>-0.14083629908955361</v>
      </c>
      <c r="AS153" s="4">
        <f t="shared" si="176"/>
        <v>4.578277608801932E-3</v>
      </c>
      <c r="AT153" s="4">
        <f t="shared" si="177"/>
        <v>1.1463267200858474</v>
      </c>
      <c r="AU153" s="4">
        <f t="shared" si="178"/>
        <v>0.66901523148515052</v>
      </c>
      <c r="AV153" s="4">
        <f t="shared" si="179"/>
        <v>-6.6899926447100229E-3</v>
      </c>
      <c r="AW153" s="4">
        <f t="shared" si="180"/>
        <v>-6.7063980526244311</v>
      </c>
      <c r="AX153" s="4">
        <f t="shared" si="181"/>
        <v>-3.9244531822085746</v>
      </c>
      <c r="AY153" s="4">
        <f t="shared" si="182"/>
        <v>7.4019488200475925</v>
      </c>
      <c r="AZ153" s="4">
        <f t="shared" si="183"/>
        <v>43.935420916316282</v>
      </c>
      <c r="BA153" s="4">
        <f t="shared" si="184"/>
        <v>-0.22739173237094135</v>
      </c>
      <c r="BB153" s="4">
        <f t="shared" si="185"/>
        <v>-9.0851483909163502</v>
      </c>
      <c r="BC153" s="4">
        <f t="shared" si="186"/>
        <v>-4.1718331502267461</v>
      </c>
      <c r="BD153" s="4">
        <f t="shared" si="187"/>
        <v>24.333161871053537</v>
      </c>
      <c r="BE153" s="4">
        <f t="shared" si="188"/>
        <v>56.551972944170274</v>
      </c>
      <c r="BF153" s="4">
        <f t="shared" si="189"/>
        <v>-32.854611372053832</v>
      </c>
      <c r="BG153" s="4">
        <f t="shared" si="190"/>
        <v>-6.3186696637331812</v>
      </c>
      <c r="BH153" s="4">
        <f t="shared" si="191"/>
        <v>-87.894858630788804</v>
      </c>
      <c r="BI153" s="4">
        <f t="shared" si="192"/>
        <v>-9.3235561360342185</v>
      </c>
      <c r="BJ153" s="4">
        <f t="shared" si="193"/>
        <v>-202.30177945474446</v>
      </c>
      <c r="BK153" s="4">
        <f t="shared" si="194"/>
        <v>0.2555982349764192</v>
      </c>
      <c r="BL153" s="4">
        <f t="shared" si="195"/>
        <v>12.431441397762343</v>
      </c>
      <c r="BM153" s="4">
        <f t="shared" si="196"/>
        <v>23.675351918169447</v>
      </c>
      <c r="BN153" s="4">
        <f t="shared" si="197"/>
        <v>-22.286152746883584</v>
      </c>
      <c r="BO153" s="4">
        <f t="shared" si="198"/>
        <v>-188.67778766289319</v>
      </c>
      <c r="BP153" s="4">
        <f t="shared" si="199"/>
        <v>-100.4154851607492</v>
      </c>
      <c r="BQ153" s="4">
        <f t="shared" si="200"/>
        <v>-22.3541557609413</v>
      </c>
      <c r="BR153" s="4">
        <f t="shared" si="201"/>
        <v>104.5658043500359</v>
      </c>
      <c r="BS153" s="4">
        <f t="shared" si="202"/>
        <v>747.41125393936113</v>
      </c>
      <c r="BT153" s="4">
        <f t="shared" si="203"/>
        <v>2573.1780772795059</v>
      </c>
      <c r="BU153" s="4">
        <f t="shared" si="204"/>
        <v>6.6593161690541045</v>
      </c>
      <c r="BV153" s="4">
        <f t="shared" si="205"/>
        <v>89.037869352972692</v>
      </c>
      <c r="BW153" s="4">
        <f t="shared" si="206"/>
        <v>-394.20391221518179</v>
      </c>
      <c r="BX153" s="4">
        <f t="shared" si="207"/>
        <v>-1883.6235692170656</v>
      </c>
      <c r="BY153" s="4">
        <f t="shared" si="208"/>
        <v>-4676.304700209158</v>
      </c>
      <c r="BZ153" s="6">
        <f t="shared" si="209"/>
        <v>-1.3301266888302052</v>
      </c>
      <c r="CA153" s="7"/>
      <c r="CB153" s="6">
        <v>-1.33012705283727</v>
      </c>
      <c r="CC153" s="6"/>
    </row>
    <row r="154" spans="1:81" x14ac:dyDescent="0.3">
      <c r="A154" s="4">
        <v>152</v>
      </c>
      <c r="B154" s="4">
        <v>4497</v>
      </c>
      <c r="C154" s="4">
        <v>5.7649999999999997</v>
      </c>
      <c r="D154" s="4">
        <v>4.4569999999999999</v>
      </c>
      <c r="E154" s="4">
        <v>0.39600000000000002</v>
      </c>
      <c r="F154" s="4">
        <v>3.5110000000000001</v>
      </c>
      <c r="H154" s="6">
        <v>-2618.81325553337</v>
      </c>
      <c r="I154" s="4">
        <f t="shared" si="140"/>
        <v>267.56980410649999</v>
      </c>
      <c r="J154" s="4">
        <f t="shared" si="141"/>
        <v>-2193.415659277</v>
      </c>
      <c r="K154" s="4">
        <f t="shared" si="142"/>
        <v>938.05533360000004</v>
      </c>
      <c r="L154" s="4">
        <f t="shared" si="143"/>
        <v>11345.817987320001</v>
      </c>
      <c r="M154" s="4">
        <f t="shared" si="144"/>
        <v>128.4162837213845</v>
      </c>
      <c r="N154" s="4">
        <f t="shared" si="145"/>
        <v>64.999983235908346</v>
      </c>
      <c r="O154" s="4">
        <f t="shared" si="146"/>
        <v>-157.13500675751999</v>
      </c>
      <c r="P154" s="4">
        <f t="shared" si="147"/>
        <v>-776.08685832828496</v>
      </c>
      <c r="Q154" s="4">
        <f t="shared" si="148"/>
        <v>-238.39720859291751</v>
      </c>
      <c r="R154" s="4">
        <f t="shared" si="149"/>
        <v>319.38330750559197</v>
      </c>
      <c r="S154" s="4">
        <f t="shared" si="150"/>
        <v>6620.9601108174093</v>
      </c>
      <c r="T154" s="4">
        <f t="shared" si="151"/>
        <v>-65.089730968416006</v>
      </c>
      <c r="U154" s="4">
        <f t="shared" si="152"/>
        <v>-2858.5932223503605</v>
      </c>
      <c r="V154" s="4">
        <f t="shared" si="153"/>
        <v>-18326.702438321699</v>
      </c>
      <c r="W154" s="4">
        <f t="shared" si="154"/>
        <v>-6.9334632069605728</v>
      </c>
      <c r="X154" s="4">
        <f t="shared" si="155"/>
        <v>19.655030422823661</v>
      </c>
      <c r="Y154" s="4">
        <f t="shared" si="156"/>
        <v>7.8280855883955951</v>
      </c>
      <c r="Z154" s="4">
        <f t="shared" si="157"/>
        <v>-306.03662293754695</v>
      </c>
      <c r="AA154" s="4">
        <f t="shared" si="158"/>
        <v>26.607540677814058</v>
      </c>
      <c r="AB154" s="4">
        <f t="shared" si="159"/>
        <v>-109.64430258694208</v>
      </c>
      <c r="AC154" s="4">
        <f t="shared" si="160"/>
        <v>3.1310377899505806</v>
      </c>
      <c r="AD154" s="4">
        <f t="shared" si="161"/>
        <v>74.175125045372212</v>
      </c>
      <c r="AE154" s="4">
        <f t="shared" si="162"/>
        <v>159.57318108728481</v>
      </c>
      <c r="AF154" s="4">
        <f t="shared" si="163"/>
        <v>848.92800778406468</v>
      </c>
      <c r="AG154" s="4">
        <f t="shared" si="164"/>
        <v>-38.32943150934193</v>
      </c>
      <c r="AH154" s="4">
        <f t="shared" si="165"/>
        <v>124.30065927305039</v>
      </c>
      <c r="AI154" s="4">
        <f t="shared" si="166"/>
        <v>336.19106735717912</v>
      </c>
      <c r="AJ154" s="4">
        <f t="shared" si="167"/>
        <v>-10.275603100485466</v>
      </c>
      <c r="AK154" s="4">
        <f t="shared" si="168"/>
        <v>-769.39683484052034</v>
      </c>
      <c r="AL154" s="4">
        <f t="shared" si="169"/>
        <v>-6406.8836440778441</v>
      </c>
      <c r="AM154" s="4">
        <f t="shared" si="170"/>
        <v>-18.693031494221568</v>
      </c>
      <c r="AN154" s="4">
        <f t="shared" si="171"/>
        <v>178.04355656617571</v>
      </c>
      <c r="AO154" s="4">
        <f t="shared" si="172"/>
        <v>2918.1096399101693</v>
      </c>
      <c r="AP154" s="4">
        <f t="shared" si="173"/>
        <v>12961.554075823155</v>
      </c>
      <c r="AQ154" s="4">
        <f t="shared" si="174"/>
        <v>8.1516517323200588E-2</v>
      </c>
      <c r="AR154" s="4">
        <f t="shared" si="175"/>
        <v>-1.1703971196370249</v>
      </c>
      <c r="AS154" s="4">
        <f t="shared" si="176"/>
        <v>2.4894334455391839E-2</v>
      </c>
      <c r="AT154" s="4">
        <f t="shared" si="177"/>
        <v>8.9299450799459645</v>
      </c>
      <c r="AU154" s="4">
        <f t="shared" si="178"/>
        <v>2.686801096163244</v>
      </c>
      <c r="AV154" s="4">
        <f t="shared" si="179"/>
        <v>-1.7579434820134861E-2</v>
      </c>
      <c r="AW154" s="4">
        <f t="shared" si="180"/>
        <v>-25.247045951336005</v>
      </c>
      <c r="AX154" s="4">
        <f t="shared" si="181"/>
        <v>-6.7474267297175254</v>
      </c>
      <c r="AY154" s="4">
        <f t="shared" si="182"/>
        <v>18.232535930195677</v>
      </c>
      <c r="AZ154" s="4">
        <f t="shared" si="183"/>
        <v>155.04500058568098</v>
      </c>
      <c r="BA154" s="4">
        <f t="shared" si="184"/>
        <v>-0.44132146664907285</v>
      </c>
      <c r="BB154" s="4">
        <f t="shared" si="185"/>
        <v>-11.536980654857063</v>
      </c>
      <c r="BC154" s="4">
        <f t="shared" si="186"/>
        <v>-7.5897775165334398</v>
      </c>
      <c r="BD154" s="4">
        <f t="shared" si="187"/>
        <v>20.218011589083375</v>
      </c>
      <c r="BE154" s="4">
        <f t="shared" si="188"/>
        <v>67.317756252630943</v>
      </c>
      <c r="BF154" s="4">
        <f t="shared" si="189"/>
        <v>-56.029943058447174</v>
      </c>
      <c r="BG154" s="4">
        <f t="shared" si="190"/>
        <v>-3.4351468219675065</v>
      </c>
      <c r="BH154" s="4">
        <f t="shared" si="191"/>
        <v>-68.458140758488341</v>
      </c>
      <c r="BI154" s="4">
        <f t="shared" si="192"/>
        <v>-10.40363706965635</v>
      </c>
      <c r="BJ154" s="4">
        <f t="shared" si="193"/>
        <v>-323.40392145531155</v>
      </c>
      <c r="BK154" s="4">
        <f t="shared" si="194"/>
        <v>0.23972818874441246</v>
      </c>
      <c r="BL154" s="4">
        <f t="shared" si="195"/>
        <v>7.6289101043169625</v>
      </c>
      <c r="BM154" s="4">
        <f t="shared" si="196"/>
        <v>20.815144442986121</v>
      </c>
      <c r="BN154" s="4">
        <f t="shared" si="197"/>
        <v>-8.9486159531020757</v>
      </c>
      <c r="BO154" s="4">
        <f t="shared" si="198"/>
        <v>-108.53842562930555</v>
      </c>
      <c r="BP154" s="4">
        <f t="shared" si="199"/>
        <v>-82.757127662237295</v>
      </c>
      <c r="BQ154" s="4">
        <f t="shared" si="200"/>
        <v>-5.8729837145199379</v>
      </c>
      <c r="BR154" s="4">
        <f t="shared" si="201"/>
        <v>39.357923906710056</v>
      </c>
      <c r="BS154" s="4">
        <f t="shared" si="202"/>
        <v>403.03624821819648</v>
      </c>
      <c r="BT154" s="4">
        <f t="shared" si="203"/>
        <v>1987.9080511188454</v>
      </c>
      <c r="BU154" s="4">
        <f t="shared" si="204"/>
        <v>1.144748057587788</v>
      </c>
      <c r="BV154" s="4">
        <f t="shared" si="205"/>
        <v>21.92789863229024</v>
      </c>
      <c r="BW154" s="4">
        <f t="shared" si="206"/>
        <v>-139.08655854055655</v>
      </c>
      <c r="BX154" s="4">
        <f t="shared" si="207"/>
        <v>-952.13893049038097</v>
      </c>
      <c r="BY154" s="4">
        <f t="shared" si="208"/>
        <v>-3386.4992469785225</v>
      </c>
      <c r="BZ154" s="6">
        <f t="shared" si="209"/>
        <v>-0.85458920209021016</v>
      </c>
      <c r="CA154" s="7"/>
      <c r="CB154" s="6">
        <v>-0.85458862571931604</v>
      </c>
      <c r="CC154" s="6"/>
    </row>
    <row r="155" spans="1:81" x14ac:dyDescent="0.3">
      <c r="A155" s="4">
        <v>153</v>
      </c>
      <c r="B155" s="4">
        <v>164623558</v>
      </c>
      <c r="C155" s="4">
        <v>3.0489999999999999</v>
      </c>
      <c r="D155" s="4">
        <v>4.6150000000000002</v>
      </c>
      <c r="E155" s="4">
        <v>0.42</v>
      </c>
      <c r="F155" s="4">
        <v>3.7160000000000002</v>
      </c>
      <c r="H155" s="6">
        <v>-2618.81325553337</v>
      </c>
      <c r="I155" s="4">
        <f t="shared" si="140"/>
        <v>141.5126336029</v>
      </c>
      <c r="J155" s="4">
        <f t="shared" si="141"/>
        <v>-2271.1719245150002</v>
      </c>
      <c r="K155" s="4">
        <f t="shared" si="142"/>
        <v>994.90717199999995</v>
      </c>
      <c r="L155" s="4">
        <f t="shared" si="143"/>
        <v>12008.276741920001</v>
      </c>
      <c r="M155" s="4">
        <f t="shared" si="144"/>
        <v>35.919999590908823</v>
      </c>
      <c r="N155" s="4">
        <f t="shared" si="145"/>
        <v>35.595936933461445</v>
      </c>
      <c r="O155" s="4">
        <f t="shared" si="146"/>
        <v>-88.142459702639997</v>
      </c>
      <c r="P155" s="4">
        <f t="shared" si="147"/>
        <v>-434.42350783823599</v>
      </c>
      <c r="Q155" s="4">
        <f t="shared" si="148"/>
        <v>-255.59909305043752</v>
      </c>
      <c r="R155" s="4">
        <f t="shared" si="149"/>
        <v>350.74815064379999</v>
      </c>
      <c r="S155" s="4">
        <f t="shared" si="150"/>
        <v>7255.9606451677819</v>
      </c>
      <c r="T155" s="4">
        <f t="shared" si="151"/>
        <v>-73.218476066399987</v>
      </c>
      <c r="U155" s="4">
        <f t="shared" si="152"/>
        <v>-3208.8642146232005</v>
      </c>
      <c r="V155" s="4">
        <f t="shared" si="153"/>
        <v>-20529.2971152912</v>
      </c>
      <c r="W155" s="4">
        <f t="shared" si="154"/>
        <v>-1.0257099146291968</v>
      </c>
      <c r="X155" s="4">
        <f t="shared" si="155"/>
        <v>5.6927094327428831</v>
      </c>
      <c r="Y155" s="4">
        <f t="shared" si="156"/>
        <v>2.3223404961394656</v>
      </c>
      <c r="Z155" s="4">
        <f t="shared" si="157"/>
        <v>-90.601315238870981</v>
      </c>
      <c r="AA155" s="4">
        <f t="shared" si="158"/>
        <v>15.087628781176337</v>
      </c>
      <c r="AB155" s="4">
        <f t="shared" si="159"/>
        <v>-63.683563650647848</v>
      </c>
      <c r="AC155" s="4">
        <f t="shared" si="160"/>
        <v>1.8147648932424205</v>
      </c>
      <c r="AD155" s="4">
        <f t="shared" si="161"/>
        <v>44.129053114539118</v>
      </c>
      <c r="AE155" s="4">
        <f t="shared" si="162"/>
        <v>94.736425827849629</v>
      </c>
      <c r="AF155" s="4">
        <f t="shared" si="163"/>
        <v>502.94295194249088</v>
      </c>
      <c r="AG155" s="4">
        <f t="shared" si="164"/>
        <v>-42.551962228005308</v>
      </c>
      <c r="AH155" s="4">
        <f t="shared" si="165"/>
        <v>141.34670181332609</v>
      </c>
      <c r="AI155" s="4">
        <f t="shared" si="166"/>
        <v>381.4952969777782</v>
      </c>
      <c r="AJ155" s="4">
        <f t="shared" si="167"/>
        <v>-11.968634409076799</v>
      </c>
      <c r="AK155" s="4">
        <f t="shared" si="168"/>
        <v>-894.29014928067363</v>
      </c>
      <c r="AL155" s="4">
        <f t="shared" si="169"/>
        <v>-7431.3148142071623</v>
      </c>
      <c r="AM155" s="4">
        <f t="shared" si="170"/>
        <v>-22.301909600543993</v>
      </c>
      <c r="AN155" s="4">
        <f t="shared" si="171"/>
        <v>211.97241408803038</v>
      </c>
      <c r="AO155" s="4">
        <f t="shared" si="172"/>
        <v>3466.9331010500396</v>
      </c>
      <c r="AP155" s="4">
        <f t="shared" si="173"/>
        <v>15367.09243609865</v>
      </c>
      <c r="AQ155" s="4">
        <f t="shared" si="174"/>
        <v>6.3779053180655441E-3</v>
      </c>
      <c r="AR155" s="4">
        <f t="shared" si="175"/>
        <v>-0.1792819857249848</v>
      </c>
      <c r="AS155" s="4">
        <f t="shared" si="176"/>
        <v>3.9059705336108226E-3</v>
      </c>
      <c r="AT155" s="4">
        <f t="shared" si="177"/>
        <v>1.3981958282420304</v>
      </c>
      <c r="AU155" s="4">
        <f t="shared" si="178"/>
        <v>0.8057677566929391</v>
      </c>
      <c r="AV155" s="4">
        <f t="shared" si="179"/>
        <v>-5.4001311769255921E-3</v>
      </c>
      <c r="AW155" s="4">
        <f t="shared" si="180"/>
        <v>-7.7392832749386677</v>
      </c>
      <c r="AX155" s="4">
        <f t="shared" si="181"/>
        <v>-2.1230616801337612</v>
      </c>
      <c r="AY155" s="4">
        <f t="shared" si="182"/>
        <v>5.7248259023054491</v>
      </c>
      <c r="AZ155" s="4">
        <f t="shared" si="183"/>
        <v>48.580697306229624</v>
      </c>
      <c r="BA155" s="4">
        <f t="shared" si="184"/>
        <v>-0.25911966848290607</v>
      </c>
      <c r="BB155" s="4">
        <f t="shared" si="185"/>
        <v>-6.9384509769798841</v>
      </c>
      <c r="BC155" s="4">
        <f t="shared" si="186"/>
        <v>-4.5550188285299091</v>
      </c>
      <c r="BD155" s="4">
        <f t="shared" si="187"/>
        <v>12.45471614811926</v>
      </c>
      <c r="BE155" s="4">
        <f t="shared" si="188"/>
        <v>41.382411652514598</v>
      </c>
      <c r="BF155" s="4">
        <f t="shared" si="189"/>
        <v>-34.371391678135979</v>
      </c>
      <c r="BG155" s="4">
        <f t="shared" si="190"/>
        <v>-2.1675330597707179</v>
      </c>
      <c r="BH155" s="4">
        <f t="shared" si="191"/>
        <v>-43.105858362594489</v>
      </c>
      <c r="BI155" s="4">
        <f t="shared" si="192"/>
        <v>-6.5371306135351084</v>
      </c>
      <c r="BJ155" s="4">
        <f t="shared" si="193"/>
        <v>-202.78602485327147</v>
      </c>
      <c r="BK155" s="4">
        <f t="shared" si="194"/>
        <v>0.27557219100670366</v>
      </c>
      <c r="BL155" s="4">
        <f t="shared" si="195"/>
        <v>8.9826362979943593</v>
      </c>
      <c r="BM155" s="4">
        <f t="shared" si="196"/>
        <v>24.457469388520103</v>
      </c>
      <c r="BN155" s="4">
        <f t="shared" si="197"/>
        <v>-10.792504077365228</v>
      </c>
      <c r="BO155" s="4">
        <f t="shared" si="198"/>
        <v>-130.62931234185768</v>
      </c>
      <c r="BP155" s="4">
        <f t="shared" si="199"/>
        <v>-99.392428720765437</v>
      </c>
      <c r="BQ155" s="4">
        <f t="shared" si="200"/>
        <v>-7.2552132371529705</v>
      </c>
      <c r="BR155" s="4">
        <f t="shared" si="201"/>
        <v>48.51927891305521</v>
      </c>
      <c r="BS155" s="4">
        <f t="shared" si="202"/>
        <v>495.81200137865085</v>
      </c>
      <c r="BT155" s="4">
        <f t="shared" si="203"/>
        <v>2440.3942411585963</v>
      </c>
      <c r="BU155" s="4">
        <f t="shared" si="204"/>
        <v>1.4485261277249275</v>
      </c>
      <c r="BV155" s="4">
        <f t="shared" si="205"/>
        <v>27.688804451602557</v>
      </c>
      <c r="BW155" s="4">
        <f t="shared" si="206"/>
        <v>-175.26012699012924</v>
      </c>
      <c r="BX155" s="4">
        <f t="shared" si="207"/>
        <v>-1197.26160335904</v>
      </c>
      <c r="BY155" s="4">
        <f t="shared" si="208"/>
        <v>-4249.4281135912825</v>
      </c>
      <c r="BZ155" s="6">
        <f t="shared" si="209"/>
        <v>-1.632429828999193</v>
      </c>
      <c r="CA155" s="7"/>
      <c r="CB155" s="6">
        <v>-1.6324291380801701</v>
      </c>
      <c r="CC155" s="6"/>
    </row>
    <row r="156" spans="1:81" x14ac:dyDescent="0.3">
      <c r="A156" s="4">
        <v>154</v>
      </c>
      <c r="B156" s="4">
        <v>14005</v>
      </c>
      <c r="C156" s="4">
        <v>6.8170000000000002</v>
      </c>
      <c r="D156" s="4">
        <v>4.3650000000000002</v>
      </c>
      <c r="E156" s="4">
        <v>0.40500000000000003</v>
      </c>
      <c r="F156" s="4">
        <v>3.645</v>
      </c>
      <c r="H156" s="6">
        <v>-2618.81325553337</v>
      </c>
      <c r="I156" s="4">
        <f t="shared" si="140"/>
        <v>316.39607191570002</v>
      </c>
      <c r="J156" s="4">
        <f t="shared" si="141"/>
        <v>-2148.1398592650003</v>
      </c>
      <c r="K156" s="4">
        <f t="shared" si="142"/>
        <v>959.374773</v>
      </c>
      <c r="L156" s="4">
        <f t="shared" si="143"/>
        <v>11778.8398074</v>
      </c>
      <c r="M156" s="4">
        <f t="shared" si="144"/>
        <v>179.55936559416102</v>
      </c>
      <c r="N156" s="4">
        <f t="shared" si="145"/>
        <v>75.274666653340347</v>
      </c>
      <c r="O156" s="4">
        <f t="shared" si="146"/>
        <v>-190.03201272557999</v>
      </c>
      <c r="P156" s="4">
        <f t="shared" si="147"/>
        <v>-952.73257620523498</v>
      </c>
      <c r="Q156" s="4">
        <f t="shared" si="148"/>
        <v>-228.65694346293751</v>
      </c>
      <c r="R156" s="4">
        <f t="shared" si="149"/>
        <v>319.89957664545005</v>
      </c>
      <c r="S156" s="4">
        <f t="shared" si="150"/>
        <v>6731.7702983259751</v>
      </c>
      <c r="T156" s="4">
        <f t="shared" si="151"/>
        <v>-68.081975832150007</v>
      </c>
      <c r="U156" s="4">
        <f t="shared" si="152"/>
        <v>-3035.1412010047507</v>
      </c>
      <c r="V156" s="4">
        <f t="shared" si="153"/>
        <v>-19752.302809642501</v>
      </c>
      <c r="W156" s="4">
        <f t="shared" si="154"/>
        <v>-11.463894016840422</v>
      </c>
      <c r="X156" s="4">
        <f t="shared" si="155"/>
        <v>26.91555249923001</v>
      </c>
      <c r="Y156" s="4">
        <f t="shared" si="156"/>
        <v>11.19446563305287</v>
      </c>
      <c r="Z156" s="4">
        <f t="shared" si="157"/>
        <v>-444.2506468960965</v>
      </c>
      <c r="AA156" s="4">
        <f t="shared" si="158"/>
        <v>30.177408727164941</v>
      </c>
      <c r="AB156" s="4">
        <f t="shared" si="159"/>
        <v>-129.86182536148115</v>
      </c>
      <c r="AC156" s="4">
        <f t="shared" si="160"/>
        <v>3.764355309837633</v>
      </c>
      <c r="AD156" s="4">
        <f t="shared" si="161"/>
        <v>91.742790148092155</v>
      </c>
      <c r="AE156" s="4">
        <f t="shared" si="162"/>
        <v>200.34588451254015</v>
      </c>
      <c r="AF156" s="4">
        <f t="shared" si="163"/>
        <v>1081.9277270131154</v>
      </c>
      <c r="AG156" s="4">
        <f t="shared" si="164"/>
        <v>-36.004536117531984</v>
      </c>
      <c r="AH156" s="4">
        <f t="shared" si="165"/>
        <v>121.93166305398803</v>
      </c>
      <c r="AI156" s="4">
        <f t="shared" si="166"/>
        <v>334.76195934066027</v>
      </c>
      <c r="AJ156" s="4">
        <f t="shared" si="167"/>
        <v>-10.526127098748303</v>
      </c>
      <c r="AK156" s="4">
        <f t="shared" si="168"/>
        <v>-800.0526163646656</v>
      </c>
      <c r="AL156" s="4">
        <f t="shared" si="169"/>
        <v>-6762.7270171866649</v>
      </c>
      <c r="AM156" s="4">
        <f t="shared" si="170"/>
        <v>-19.996742286238504</v>
      </c>
      <c r="AN156" s="4">
        <f t="shared" si="171"/>
        <v>193.33595983748739</v>
      </c>
      <c r="AO156" s="4">
        <f t="shared" si="172"/>
        <v>3216.583641590762</v>
      </c>
      <c r="AP156" s="4">
        <f t="shared" si="173"/>
        <v>14502.977915398571</v>
      </c>
      <c r="AQ156" s="4">
        <f t="shared" si="174"/>
        <v>0.1593754948570959</v>
      </c>
      <c r="AR156" s="4">
        <f t="shared" si="175"/>
        <v>-1.8952076701874838</v>
      </c>
      <c r="AS156" s="4">
        <f t="shared" si="176"/>
        <v>4.2096142840489501E-2</v>
      </c>
      <c r="AT156" s="4">
        <f t="shared" si="177"/>
        <v>15.328421645850501</v>
      </c>
      <c r="AU156" s="4">
        <f t="shared" si="178"/>
        <v>3.6033521693823269</v>
      </c>
      <c r="AV156" s="4">
        <f t="shared" si="179"/>
        <v>-2.4620355772823576E-2</v>
      </c>
      <c r="AW156" s="4">
        <f t="shared" si="180"/>
        <v>-35.892759781953202</v>
      </c>
      <c r="AX156" s="4">
        <f t="shared" si="181"/>
        <v>-9.8683789121156895</v>
      </c>
      <c r="AY156" s="4">
        <f t="shared" si="182"/>
        <v>27.068337529710742</v>
      </c>
      <c r="AZ156" s="4">
        <f t="shared" si="183"/>
        <v>233.65718388142153</v>
      </c>
      <c r="BA156" s="4">
        <f t="shared" si="184"/>
        <v>-0.49020064351391096</v>
      </c>
      <c r="BB156" s="4">
        <f t="shared" si="185"/>
        <v>-13.382252252510762</v>
      </c>
      <c r="BC156" s="4">
        <f t="shared" si="186"/>
        <v>-8.9366131565397193</v>
      </c>
      <c r="BD156" s="4">
        <f t="shared" si="187"/>
        <v>24.490277832415345</v>
      </c>
      <c r="BE156" s="4">
        <f t="shared" si="188"/>
        <v>82.773585707370756</v>
      </c>
      <c r="BF156" s="4">
        <f t="shared" si="189"/>
        <v>-69.934131175744611</v>
      </c>
      <c r="BG156" s="4">
        <f t="shared" si="190"/>
        <v>-4.3452903217001175</v>
      </c>
      <c r="BH156" s="4">
        <f t="shared" si="191"/>
        <v>-87.903356842881252</v>
      </c>
      <c r="BI156" s="4">
        <f t="shared" si="192"/>
        <v>-13.560397473757819</v>
      </c>
      <c r="BJ156" s="4">
        <f t="shared" si="193"/>
        <v>-427.89713001649454</v>
      </c>
      <c r="BK156" s="4">
        <f t="shared" si="194"/>
        <v>0.22053908070427886</v>
      </c>
      <c r="BL156" s="4">
        <f t="shared" si="195"/>
        <v>7.3290414273785744</v>
      </c>
      <c r="BM156" s="4">
        <f t="shared" si="196"/>
        <v>20.298828484283042</v>
      </c>
      <c r="BN156" s="4">
        <f t="shared" si="197"/>
        <v>-8.9775694273809172</v>
      </c>
      <c r="BO156" s="4">
        <f t="shared" si="198"/>
        <v>-110.53333816763988</v>
      </c>
      <c r="BP156" s="4">
        <f t="shared" si="199"/>
        <v>-85.550399716507158</v>
      </c>
      <c r="BQ156" s="4">
        <f t="shared" si="200"/>
        <v>-6.1529009296274104</v>
      </c>
      <c r="BR156" s="4">
        <f t="shared" si="201"/>
        <v>41.856236235560893</v>
      </c>
      <c r="BS156" s="4">
        <f t="shared" si="202"/>
        <v>435.08986309470566</v>
      </c>
      <c r="BT156" s="4">
        <f t="shared" si="203"/>
        <v>2178.4019452797183</v>
      </c>
      <c r="BU156" s="4">
        <f t="shared" si="204"/>
        <v>1.2524178952849458</v>
      </c>
      <c r="BV156" s="4">
        <f t="shared" si="205"/>
        <v>24.352481940318118</v>
      </c>
      <c r="BW156" s="4">
        <f t="shared" si="206"/>
        <v>-156.79717809090164</v>
      </c>
      <c r="BX156" s="4">
        <f t="shared" si="207"/>
        <v>-1089.5828768664405</v>
      </c>
      <c r="BY156" s="4">
        <f t="shared" si="208"/>
        <v>-3933.8500011841666</v>
      </c>
      <c r="BZ156" s="6">
        <f t="shared" si="209"/>
        <v>-1.6607755447016643</v>
      </c>
      <c r="CA156" s="7"/>
      <c r="CB156" s="6">
        <v>-1.660775774602371</v>
      </c>
      <c r="CC156" s="6"/>
    </row>
    <row r="157" spans="1:81" x14ac:dyDescent="0.3">
      <c r="A157" s="4">
        <v>155</v>
      </c>
      <c r="B157" s="4">
        <v>717942</v>
      </c>
      <c r="C157" s="4">
        <v>3.1150000000000002</v>
      </c>
      <c r="D157" s="4">
        <v>3.4710000000000001</v>
      </c>
      <c r="E157" s="4">
        <v>0.41099999999999998</v>
      </c>
      <c r="F157" s="4">
        <v>3.5059999999999998</v>
      </c>
      <c r="H157" s="6">
        <v>-2618.81325553337</v>
      </c>
      <c r="I157" s="4">
        <f t="shared" si="140"/>
        <v>144.5758785415</v>
      </c>
      <c r="J157" s="4">
        <f t="shared" si="141"/>
        <v>-1708.1771939310001</v>
      </c>
      <c r="K157" s="4">
        <f t="shared" si="142"/>
        <v>973.58773259999987</v>
      </c>
      <c r="L157" s="4">
        <f t="shared" si="143"/>
        <v>11329.660456719999</v>
      </c>
      <c r="M157" s="4">
        <f t="shared" si="144"/>
        <v>37.491910905144508</v>
      </c>
      <c r="N157" s="4">
        <f t="shared" si="145"/>
        <v>27.35167727792955</v>
      </c>
      <c r="O157" s="4">
        <f t="shared" si="146"/>
        <v>-88.120778218619989</v>
      </c>
      <c r="P157" s="4">
        <f t="shared" si="147"/>
        <v>-418.74549823000996</v>
      </c>
      <c r="Q157" s="4">
        <f t="shared" si="148"/>
        <v>-144.5856278077575</v>
      </c>
      <c r="R157" s="4">
        <f t="shared" si="149"/>
        <v>258.14922741246596</v>
      </c>
      <c r="S157" s="4">
        <f t="shared" si="150"/>
        <v>5148.8949740466423</v>
      </c>
      <c r="T157" s="4">
        <f t="shared" si="151"/>
        <v>-70.114162106645992</v>
      </c>
      <c r="U157" s="4">
        <f t="shared" si="152"/>
        <v>-2962.6481571894601</v>
      </c>
      <c r="V157" s="4">
        <f t="shared" si="153"/>
        <v>-18274.541649517196</v>
      </c>
      <c r="W157" s="4">
        <f t="shared" si="154"/>
        <v>-1.0937710729399783</v>
      </c>
      <c r="X157" s="4">
        <f t="shared" si="155"/>
        <v>4.4689261580484008</v>
      </c>
      <c r="Y157" s="4">
        <f t="shared" si="156"/>
        <v>2.372027283468888</v>
      </c>
      <c r="Z157" s="4">
        <f t="shared" si="157"/>
        <v>-89.222001605596901</v>
      </c>
      <c r="AA157" s="4">
        <f t="shared" si="158"/>
        <v>8.7194167053114597</v>
      </c>
      <c r="AB157" s="4">
        <f t="shared" si="159"/>
        <v>-47.885433611379689</v>
      </c>
      <c r="AC157" s="4">
        <f t="shared" si="160"/>
        <v>1.3156492139585299</v>
      </c>
      <c r="AD157" s="4">
        <f t="shared" si="161"/>
        <v>43.172808188694091</v>
      </c>
      <c r="AE157" s="4">
        <f t="shared" si="162"/>
        <v>89.360658487993348</v>
      </c>
      <c r="AF157" s="4">
        <f t="shared" si="163"/>
        <v>457.39537195229815</v>
      </c>
      <c r="AG157" s="4">
        <f t="shared" si="164"/>
        <v>-18.103740539244587</v>
      </c>
      <c r="AH157" s="4">
        <f t="shared" si="165"/>
        <v>78.24273576688968</v>
      </c>
      <c r="AI157" s="4">
        <f t="shared" si="166"/>
        <v>203.60629981883406</v>
      </c>
      <c r="AJ157" s="4">
        <f t="shared" si="167"/>
        <v>-8.6201053309568803</v>
      </c>
      <c r="AK157" s="4">
        <f t="shared" si="168"/>
        <v>-620.99784516087573</v>
      </c>
      <c r="AL157" s="4">
        <f t="shared" si="169"/>
        <v>-4975.3195678095635</v>
      </c>
      <c r="AM157" s="4">
        <f t="shared" si="170"/>
        <v>-20.898717987276822</v>
      </c>
      <c r="AN157" s="4">
        <f t="shared" si="171"/>
        <v>191.51403887085021</v>
      </c>
      <c r="AO157" s="4">
        <f t="shared" si="172"/>
        <v>3020.0240801415348</v>
      </c>
      <c r="AP157" s="4">
        <f t="shared" si="173"/>
        <v>12906.257418127499</v>
      </c>
      <c r="AQ157" s="4">
        <f t="shared" si="174"/>
        <v>6.9483322053687322E-3</v>
      </c>
      <c r="AR157" s="4">
        <f t="shared" si="175"/>
        <v>-0.14378760236866192</v>
      </c>
      <c r="AS157" s="4">
        <f t="shared" si="176"/>
        <v>4.0758986274959932E-3</v>
      </c>
      <c r="AT157" s="4">
        <f t="shared" si="177"/>
        <v>1.4067149025094456</v>
      </c>
      <c r="AU157" s="4">
        <f t="shared" si="178"/>
        <v>0.47574798190350276</v>
      </c>
      <c r="AV157" s="4">
        <f t="shared" si="179"/>
        <v>-4.1484036015397713E-3</v>
      </c>
      <c r="AW157" s="4">
        <f t="shared" si="180"/>
        <v>-5.7321970474775705</v>
      </c>
      <c r="AX157" s="4">
        <f t="shared" si="181"/>
        <v>-2.1220173374497597</v>
      </c>
      <c r="AY157" s="4">
        <f t="shared" si="182"/>
        <v>5.5168639626241269</v>
      </c>
      <c r="AZ157" s="4">
        <f t="shared" si="183"/>
        <v>45.137490530182554</v>
      </c>
      <c r="BA157" s="4">
        <f t="shared" si="184"/>
        <v>-0.11262887104921655</v>
      </c>
      <c r="BB157" s="4">
        <f t="shared" si="185"/>
        <v>-3.9239322371852388</v>
      </c>
      <c r="BC157" s="4">
        <f t="shared" si="186"/>
        <v>-2.4836639073799596</v>
      </c>
      <c r="BD157" s="4">
        <f t="shared" si="187"/>
        <v>9.1643661390236968</v>
      </c>
      <c r="BE157" s="4">
        <f t="shared" si="188"/>
        <v>29.358108379355475</v>
      </c>
      <c r="BF157" s="4">
        <f t="shared" si="189"/>
        <v>-23.510023576187884</v>
      </c>
      <c r="BG157" s="4">
        <f t="shared" si="190"/>
        <v>-2.0751235123502134</v>
      </c>
      <c r="BH157" s="4">
        <f t="shared" si="191"/>
        <v>-39.788557421337281</v>
      </c>
      <c r="BI157" s="4">
        <f t="shared" si="192"/>
        <v>-5.8177189017370265</v>
      </c>
      <c r="BJ157" s="4">
        <f t="shared" si="193"/>
        <v>-173.99920656594242</v>
      </c>
      <c r="BK157" s="4">
        <f t="shared" si="194"/>
        <v>8.8179376248539623E-2</v>
      </c>
      <c r="BL157" s="4">
        <f t="shared" si="195"/>
        <v>3.7397715385439474</v>
      </c>
      <c r="BM157" s="4">
        <f t="shared" si="196"/>
        <v>9.8173991804991232</v>
      </c>
      <c r="BN157" s="4">
        <f t="shared" si="197"/>
        <v>-5.8461923590241396</v>
      </c>
      <c r="BO157" s="4">
        <f t="shared" si="198"/>
        <v>-68.223688410117447</v>
      </c>
      <c r="BP157" s="4">
        <f t="shared" si="199"/>
        <v>-50.048553782780985</v>
      </c>
      <c r="BQ157" s="4">
        <f t="shared" si="200"/>
        <v>-5.1134107956300365</v>
      </c>
      <c r="BR157" s="4">
        <f t="shared" si="201"/>
        <v>32.969967232720961</v>
      </c>
      <c r="BS157" s="4">
        <f t="shared" si="202"/>
        <v>324.83654866509767</v>
      </c>
      <c r="BT157" s="4">
        <f t="shared" si="203"/>
        <v>1541.5283603491011</v>
      </c>
      <c r="BU157" s="4">
        <f t="shared" si="204"/>
        <v>1.328300876099102</v>
      </c>
      <c r="BV157" s="4">
        <f t="shared" si="205"/>
        <v>24.480371551238886</v>
      </c>
      <c r="BW157" s="4">
        <f t="shared" si="206"/>
        <v>-149.39656011097046</v>
      </c>
      <c r="BX157" s="4">
        <f t="shared" si="207"/>
        <v>-983.9889139845103</v>
      </c>
      <c r="BY157" s="4">
        <f t="shared" si="208"/>
        <v>-3367.2496197270334</v>
      </c>
      <c r="BZ157" s="6">
        <f t="shared" si="209"/>
        <v>-1.4469470909834854</v>
      </c>
      <c r="CA157" s="7"/>
      <c r="CB157" s="6">
        <v>-1.4469444459168701</v>
      </c>
      <c r="CC157" s="6"/>
    </row>
    <row r="158" spans="1:81" x14ac:dyDescent="0.3">
      <c r="A158" s="4">
        <v>156</v>
      </c>
      <c r="B158" s="4">
        <v>44569173</v>
      </c>
      <c r="C158" s="4">
        <v>2.1539999999999999</v>
      </c>
      <c r="D158" s="4">
        <v>3.2309999999999999</v>
      </c>
      <c r="E158" s="4">
        <v>0.72199999999999998</v>
      </c>
      <c r="F158" s="4">
        <v>3.4119999999999999</v>
      </c>
      <c r="H158" s="6">
        <v>-2618.81325553337</v>
      </c>
      <c r="I158" s="4">
        <f t="shared" si="140"/>
        <v>99.97317572339999</v>
      </c>
      <c r="J158" s="4">
        <f t="shared" si="141"/>
        <v>-1590.0664112909999</v>
      </c>
      <c r="K158" s="4">
        <f t="shared" si="142"/>
        <v>1710.2928051999997</v>
      </c>
      <c r="L158" s="4">
        <f t="shared" si="143"/>
        <v>11025.89888144</v>
      </c>
      <c r="M158" s="4">
        <f t="shared" si="144"/>
        <v>17.927216868327122</v>
      </c>
      <c r="N158" s="4">
        <f t="shared" si="145"/>
        <v>17.605726701346978</v>
      </c>
      <c r="O158" s="4">
        <f t="shared" si="146"/>
        <v>-107.043758000304</v>
      </c>
      <c r="P158" s="4">
        <f t="shared" si="147"/>
        <v>-281.796055601592</v>
      </c>
      <c r="Q158" s="4">
        <f t="shared" si="148"/>
        <v>-125.28232768815749</v>
      </c>
      <c r="R158" s="4">
        <f t="shared" si="149"/>
        <v>422.13226660225195</v>
      </c>
      <c r="S158" s="4">
        <f t="shared" si="150"/>
        <v>4664.3753157591236</v>
      </c>
      <c r="T158" s="4">
        <f t="shared" si="151"/>
        <v>-216.36972833218397</v>
      </c>
      <c r="U158" s="4">
        <f t="shared" si="152"/>
        <v>-5064.9196996338405</v>
      </c>
      <c r="V158" s="4">
        <f t="shared" si="153"/>
        <v>-17307.754028788797</v>
      </c>
      <c r="W158" s="4">
        <f t="shared" si="154"/>
        <v>-0.36165075598066143</v>
      </c>
      <c r="X158" s="4">
        <f t="shared" si="155"/>
        <v>1.9891192436201246</v>
      </c>
      <c r="Y158" s="4">
        <f t="shared" si="156"/>
        <v>1.99246339627583</v>
      </c>
      <c r="Z158" s="4">
        <f t="shared" si="157"/>
        <v>-41.51875945097553</v>
      </c>
      <c r="AA158" s="4">
        <f t="shared" si="158"/>
        <v>5.2244402896299755</v>
      </c>
      <c r="AB158" s="4">
        <f t="shared" si="159"/>
        <v>-54.14630090186219</v>
      </c>
      <c r="AC158" s="4">
        <f t="shared" si="160"/>
        <v>0.82415180408362465</v>
      </c>
      <c r="AD158" s="4">
        <f t="shared" si="161"/>
        <v>92.127375176311048</v>
      </c>
      <c r="AE158" s="4">
        <f t="shared" si="162"/>
        <v>105.63953838180143</v>
      </c>
      <c r="AF158" s="4">
        <f t="shared" si="163"/>
        <v>299.55297382741247</v>
      </c>
      <c r="AG158" s="4">
        <f t="shared" si="164"/>
        <v>-14.602101057895183</v>
      </c>
      <c r="AH158" s="4">
        <f t="shared" si="165"/>
        <v>119.09789664370273</v>
      </c>
      <c r="AI158" s="4">
        <f t="shared" si="166"/>
        <v>171.69316673108648</v>
      </c>
      <c r="AJ158" s="4">
        <f t="shared" si="167"/>
        <v>-24.761997096083391</v>
      </c>
      <c r="AK158" s="4">
        <f t="shared" si="168"/>
        <v>-988.24567867886606</v>
      </c>
      <c r="AL158" s="4">
        <f t="shared" si="169"/>
        <v>-4386.2920713194926</v>
      </c>
      <c r="AM158" s="4">
        <f t="shared" si="170"/>
        <v>-113.29370317891701</v>
      </c>
      <c r="AN158" s="4">
        <f t="shared" si="171"/>
        <v>575.15973826098264</v>
      </c>
      <c r="AO158" s="4">
        <f t="shared" si="172"/>
        <v>5024.582749484849</v>
      </c>
      <c r="AP158" s="4">
        <f t="shared" si="173"/>
        <v>11895.745251846101</v>
      </c>
      <c r="AQ158" s="4">
        <f t="shared" si="174"/>
        <v>1.5886607509585395E-3</v>
      </c>
      <c r="AR158" s="4">
        <f t="shared" si="175"/>
        <v>-4.4255446853496139E-2</v>
      </c>
      <c r="AS158" s="4">
        <f t="shared" si="176"/>
        <v>2.3674547865539458E-3</v>
      </c>
      <c r="AT158" s="4">
        <f t="shared" si="177"/>
        <v>0.4526537712016504</v>
      </c>
      <c r="AU158" s="4">
        <f t="shared" si="178"/>
        <v>0.19711375865092939</v>
      </c>
      <c r="AV158" s="4">
        <f t="shared" si="179"/>
        <v>-3.2436502410586074E-3</v>
      </c>
      <c r="AW158" s="4">
        <f t="shared" si="180"/>
        <v>-2.4829950977493351</v>
      </c>
      <c r="AX158" s="4">
        <f t="shared" si="181"/>
        <v>-3.1312300428056195</v>
      </c>
      <c r="AY158" s="4">
        <f t="shared" si="182"/>
        <v>4.5098288177880059</v>
      </c>
      <c r="AZ158" s="4">
        <f t="shared" si="183"/>
        <v>20.441225429429839</v>
      </c>
      <c r="BA158" s="4">
        <f t="shared" si="184"/>
        <v>-6.2818044365093556E-2</v>
      </c>
      <c r="BB158" s="4">
        <f t="shared" si="185"/>
        <v>-4.1301822055224422</v>
      </c>
      <c r="BC158" s="4">
        <f t="shared" si="186"/>
        <v>-1.4482457863022207</v>
      </c>
      <c r="BD158" s="4">
        <f t="shared" si="187"/>
        <v>18.203846958729422</v>
      </c>
      <c r="BE158" s="4">
        <f t="shared" si="188"/>
        <v>32.306547451374335</v>
      </c>
      <c r="BF158" s="4">
        <f t="shared" si="189"/>
        <v>-14.332345815874143</v>
      </c>
      <c r="BG158" s="4">
        <f t="shared" si="190"/>
        <v>-7.7788917201486054</v>
      </c>
      <c r="BH158" s="4">
        <f t="shared" si="191"/>
        <v>-82.629229617873349</v>
      </c>
      <c r="BI158" s="4">
        <f t="shared" si="192"/>
        <v>-6.6931410676097096</v>
      </c>
      <c r="BJ158" s="4">
        <f t="shared" si="193"/>
        <v>-110.89864711341366</v>
      </c>
      <c r="BK158" s="4">
        <f t="shared" si="194"/>
        <v>6.6205855198540109E-2</v>
      </c>
      <c r="BL158" s="4">
        <f t="shared" si="195"/>
        <v>5.2989214396426618</v>
      </c>
      <c r="BM158" s="4">
        <f t="shared" si="196"/>
        <v>7.7062056363198375</v>
      </c>
      <c r="BN158" s="4">
        <f t="shared" si="197"/>
        <v>-15.632503732888248</v>
      </c>
      <c r="BO158" s="4">
        <f t="shared" si="198"/>
        <v>-101.06304291411791</v>
      </c>
      <c r="BP158" s="4">
        <f t="shared" si="199"/>
        <v>-41.072434213517468</v>
      </c>
      <c r="BQ158" s="4">
        <f t="shared" si="200"/>
        <v>-25.803531938236585</v>
      </c>
      <c r="BR158" s="4">
        <f t="shared" si="201"/>
        <v>92.169816315742807</v>
      </c>
      <c r="BS158" s="4">
        <f t="shared" si="202"/>
        <v>503.07974145530937</v>
      </c>
      <c r="BT158" s="4">
        <f t="shared" si="203"/>
        <v>1322.5898810395329</v>
      </c>
      <c r="BU158" s="4">
        <f t="shared" si="204"/>
        <v>12.6496340551272</v>
      </c>
      <c r="BV158" s="4">
        <f t="shared" si="205"/>
        <v>129.15203181074943</v>
      </c>
      <c r="BW158" s="4">
        <f t="shared" si="206"/>
        <v>-436.64206349359245</v>
      </c>
      <c r="BX158" s="4">
        <f t="shared" si="207"/>
        <v>-1593.2242697081897</v>
      </c>
      <c r="BY158" s="4">
        <f t="shared" si="208"/>
        <v>-3020.3950892516414</v>
      </c>
      <c r="BZ158" s="6">
        <f t="shared" si="209"/>
        <v>-2.0738248796155858</v>
      </c>
      <c r="CA158" s="7"/>
      <c r="CB158" s="6">
        <v>-2.073822521952025</v>
      </c>
      <c r="CC158" s="6"/>
    </row>
    <row r="159" spans="1:81" x14ac:dyDescent="0.3">
      <c r="A159" s="4">
        <v>157</v>
      </c>
      <c r="B159" s="4">
        <v>44569197</v>
      </c>
      <c r="C159" s="4">
        <v>2.032</v>
      </c>
      <c r="D159" s="4">
        <v>3.2280000000000002</v>
      </c>
      <c r="E159" s="4">
        <v>0.78800000000000003</v>
      </c>
      <c r="F159" s="4">
        <v>3.4119999999999999</v>
      </c>
      <c r="H159" s="6">
        <v>-2618.81325553337</v>
      </c>
      <c r="I159" s="4">
        <f t="shared" si="140"/>
        <v>94.310813867199997</v>
      </c>
      <c r="J159" s="4">
        <f t="shared" si="141"/>
        <v>-1588.5900265080002</v>
      </c>
      <c r="K159" s="4">
        <f t="shared" si="142"/>
        <v>1866.6353607999999</v>
      </c>
      <c r="L159" s="4">
        <f t="shared" si="143"/>
        <v>11025.89888144</v>
      </c>
      <c r="M159" s="4">
        <f t="shared" si="144"/>
        <v>15.953974058439682</v>
      </c>
      <c r="N159" s="4">
        <f t="shared" si="145"/>
        <v>16.59313813305792</v>
      </c>
      <c r="O159" s="4">
        <f t="shared" si="146"/>
        <v>-110.21187021132801</v>
      </c>
      <c r="P159" s="4">
        <f t="shared" si="147"/>
        <v>-265.83546192313599</v>
      </c>
      <c r="Q159" s="4">
        <f t="shared" si="148"/>
        <v>-125.04978513468002</v>
      </c>
      <c r="R159" s="4">
        <f t="shared" si="149"/>
        <v>460.29275337110403</v>
      </c>
      <c r="S159" s="4">
        <f t="shared" si="150"/>
        <v>4660.0444194585125</v>
      </c>
      <c r="T159" s="4">
        <f t="shared" si="151"/>
        <v>-257.73567688534399</v>
      </c>
      <c r="U159" s="4">
        <f t="shared" si="152"/>
        <v>-5527.9178993233609</v>
      </c>
      <c r="V159" s="4">
        <f t="shared" si="153"/>
        <v>-17307.754028788797</v>
      </c>
      <c r="W159" s="4">
        <f t="shared" si="154"/>
        <v>-0.30361511694919685</v>
      </c>
      <c r="X159" s="4">
        <f t="shared" si="155"/>
        <v>1.7685339298546148</v>
      </c>
      <c r="Y159" s="4">
        <f t="shared" si="156"/>
        <v>1.9352424459357542</v>
      </c>
      <c r="Z159" s="4">
        <f t="shared" si="157"/>
        <v>-36.948803380057058</v>
      </c>
      <c r="AA159" s="4">
        <f t="shared" si="158"/>
        <v>4.9193861114499775</v>
      </c>
      <c r="AB159" s="4">
        <f t="shared" si="159"/>
        <v>-55.697074580882308</v>
      </c>
      <c r="AC159" s="4">
        <f t="shared" si="160"/>
        <v>0.77675093790489236</v>
      </c>
      <c r="AD159" s="4">
        <f t="shared" si="161"/>
        <v>103.52488154277137</v>
      </c>
      <c r="AE159" s="4">
        <f t="shared" si="162"/>
        <v>108.76609071672016</v>
      </c>
      <c r="AF159" s="4">
        <f t="shared" si="163"/>
        <v>282.58664940450427</v>
      </c>
      <c r="AG159" s="4">
        <f t="shared" si="164"/>
        <v>-14.561464436366618</v>
      </c>
      <c r="AH159" s="4">
        <f t="shared" si="165"/>
        <v>129.7436906487045</v>
      </c>
      <c r="AI159" s="4">
        <f t="shared" si="166"/>
        <v>171.37447878727957</v>
      </c>
      <c r="AJ159" s="4">
        <f t="shared" si="167"/>
        <v>-29.468652411069087</v>
      </c>
      <c r="AK159" s="4">
        <f t="shared" si="168"/>
        <v>-1077.5824556306588</v>
      </c>
      <c r="AL159" s="4">
        <f t="shared" si="169"/>
        <v>-4382.2193767314538</v>
      </c>
      <c r="AM159" s="4">
        <f t="shared" si="170"/>
        <v>-147.28985423469595</v>
      </c>
      <c r="AN159" s="4">
        <f t="shared" si="171"/>
        <v>685.11979748990518</v>
      </c>
      <c r="AO159" s="4">
        <f t="shared" si="172"/>
        <v>5483.8936379419138</v>
      </c>
      <c r="AP159" s="4">
        <f t="shared" si="173"/>
        <v>11895.745251846101</v>
      </c>
      <c r="AQ159" s="4">
        <f t="shared" si="174"/>
        <v>1.2581811800884853E-3</v>
      </c>
      <c r="AR159" s="4">
        <f t="shared" si="175"/>
        <v>-3.7119089279636856E-2</v>
      </c>
      <c r="AS159" s="4">
        <f t="shared" si="176"/>
        <v>2.1692256320122263E-3</v>
      </c>
      <c r="AT159" s="4">
        <f t="shared" si="177"/>
        <v>0.38001449024548145</v>
      </c>
      <c r="AU159" s="4">
        <f t="shared" si="178"/>
        <v>0.17509191178529235</v>
      </c>
      <c r="AV159" s="4">
        <f t="shared" si="179"/>
        <v>-3.1475715838263038E-3</v>
      </c>
      <c r="AW159" s="4">
        <f t="shared" si="180"/>
        <v>-2.2076409406408639</v>
      </c>
      <c r="AX159" s="4">
        <f t="shared" si="181"/>
        <v>-3.3193192481636897</v>
      </c>
      <c r="AY159" s="4">
        <f t="shared" si="182"/>
        <v>4.3803124154755562</v>
      </c>
      <c r="AZ159" s="4">
        <f t="shared" si="183"/>
        <v>18.191266531728694</v>
      </c>
      <c r="BA159" s="4">
        <f t="shared" si="184"/>
        <v>-5.9095188281155085E-2</v>
      </c>
      <c r="BB159" s="4">
        <f t="shared" si="185"/>
        <v>-4.2445276973272072</v>
      </c>
      <c r="BC159" s="4">
        <f t="shared" si="186"/>
        <v>-1.3636829616451971</v>
      </c>
      <c r="BD159" s="4">
        <f t="shared" si="187"/>
        <v>20.436936156072903</v>
      </c>
      <c r="BE159" s="4">
        <f t="shared" si="188"/>
        <v>33.231821064033689</v>
      </c>
      <c r="BF159" s="4">
        <f t="shared" si="189"/>
        <v>-13.508024856216778</v>
      </c>
      <c r="BG159" s="4">
        <f t="shared" si="190"/>
        <v>-9.5403166763682048</v>
      </c>
      <c r="BH159" s="4">
        <f t="shared" si="191"/>
        <v>-92.851676190600429</v>
      </c>
      <c r="BI159" s="4">
        <f t="shared" si="192"/>
        <v>-6.8912340937004082</v>
      </c>
      <c r="BJ159" s="4">
        <f t="shared" si="193"/>
        <v>-104.61747954245895</v>
      </c>
      <c r="BK159" s="4">
        <f t="shared" si="194"/>
        <v>6.5960307553040332E-2</v>
      </c>
      <c r="BL159" s="4">
        <f t="shared" si="195"/>
        <v>5.7672158335658308</v>
      </c>
      <c r="BM159" s="4">
        <f t="shared" si="196"/>
        <v>7.6847598073516084</v>
      </c>
      <c r="BN159" s="4">
        <f t="shared" si="197"/>
        <v>-18.586589913671101</v>
      </c>
      <c r="BO159" s="4">
        <f t="shared" si="198"/>
        <v>-110.09675691497085</v>
      </c>
      <c r="BP159" s="4">
        <f t="shared" si="199"/>
        <v>-40.996197693125538</v>
      </c>
      <c r="BQ159" s="4">
        <f t="shared" si="200"/>
        <v>-33.515274691389877</v>
      </c>
      <c r="BR159" s="4">
        <f t="shared" si="201"/>
        <v>109.68906382071735</v>
      </c>
      <c r="BS159" s="4">
        <f t="shared" si="202"/>
        <v>548.55782815075668</v>
      </c>
      <c r="BT159" s="4">
        <f t="shared" si="203"/>
        <v>1321.3618495808148</v>
      </c>
      <c r="BU159" s="4">
        <f t="shared" si="204"/>
        <v>17.948743099432317</v>
      </c>
      <c r="BV159" s="4">
        <f t="shared" si="205"/>
        <v>167.90680687238824</v>
      </c>
      <c r="BW159" s="4">
        <f t="shared" si="206"/>
        <v>-520.12006789766303</v>
      </c>
      <c r="BX159" s="4">
        <f t="shared" si="207"/>
        <v>-1738.865269432207</v>
      </c>
      <c r="BY159" s="4">
        <f t="shared" si="208"/>
        <v>-3020.3950892516414</v>
      </c>
      <c r="BZ159" s="6">
        <f t="shared" si="209"/>
        <v>-1.5329803009854004</v>
      </c>
      <c r="CA159" s="7"/>
      <c r="CB159" s="6">
        <v>-1.532978186472064</v>
      </c>
      <c r="CC159" s="6"/>
    </row>
    <row r="160" spans="1:81" x14ac:dyDescent="0.3">
      <c r="A160" s="4">
        <v>158</v>
      </c>
      <c r="B160" s="4">
        <v>42548</v>
      </c>
      <c r="C160" s="4">
        <v>5.7750000000000004</v>
      </c>
      <c r="D160" s="4">
        <v>4.6390000000000002</v>
      </c>
      <c r="E160" s="4">
        <v>0.69799999999999995</v>
      </c>
      <c r="F160" s="4">
        <v>3.0579999999999998</v>
      </c>
      <c r="H160" s="6">
        <v>-2618.81325553337</v>
      </c>
      <c r="I160" s="4">
        <f t="shared" si="140"/>
        <v>268.03393212750001</v>
      </c>
      <c r="J160" s="4">
        <f t="shared" si="141"/>
        <v>-2282.9830027790003</v>
      </c>
      <c r="K160" s="4">
        <f t="shared" si="142"/>
        <v>1653.4409667999998</v>
      </c>
      <c r="L160" s="4">
        <f t="shared" si="143"/>
        <v>9881.9457149600003</v>
      </c>
      <c r="M160" s="4">
        <f t="shared" si="144"/>
        <v>128.8621732600125</v>
      </c>
      <c r="N160" s="4">
        <f t="shared" si="145"/>
        <v>67.771587688785758</v>
      </c>
      <c r="O160" s="4">
        <f t="shared" si="146"/>
        <v>-277.45072384259998</v>
      </c>
      <c r="P160" s="4">
        <f t="shared" si="147"/>
        <v>-677.12626201604996</v>
      </c>
      <c r="Q160" s="4">
        <f t="shared" si="148"/>
        <v>-258.26445770735751</v>
      </c>
      <c r="R160" s="4">
        <f t="shared" si="149"/>
        <v>585.94140651289194</v>
      </c>
      <c r="S160" s="4">
        <f t="shared" si="150"/>
        <v>6002.1847827327547</v>
      </c>
      <c r="T160" s="4">
        <f t="shared" si="151"/>
        <v>-202.22411799010396</v>
      </c>
      <c r="U160" s="4">
        <f t="shared" si="152"/>
        <v>-4388.53178295004</v>
      </c>
      <c r="V160" s="4">
        <f t="shared" si="153"/>
        <v>-13902.651350662798</v>
      </c>
      <c r="W160" s="4">
        <f t="shared" si="154"/>
        <v>-6.9696062962066421</v>
      </c>
      <c r="X160" s="4">
        <f t="shared" si="155"/>
        <v>20.528669963143795</v>
      </c>
      <c r="Y160" s="4">
        <f t="shared" si="156"/>
        <v>13.845898893029569</v>
      </c>
      <c r="Z160" s="4">
        <f t="shared" si="157"/>
        <v>-267.47636125407985</v>
      </c>
      <c r="AA160" s="4">
        <f t="shared" si="158"/>
        <v>28.874926576663121</v>
      </c>
      <c r="AB160" s="4">
        <f t="shared" si="159"/>
        <v>-201.5026312315228</v>
      </c>
      <c r="AC160" s="4">
        <f t="shared" si="160"/>
        <v>2.8433438077919582</v>
      </c>
      <c r="AD160" s="4">
        <f t="shared" si="161"/>
        <v>230.850828462274</v>
      </c>
      <c r="AE160" s="4">
        <f t="shared" si="162"/>
        <v>245.40277422193532</v>
      </c>
      <c r="AF160" s="4">
        <f t="shared" si="163"/>
        <v>645.11455750408356</v>
      </c>
      <c r="AG160" s="4">
        <f t="shared" si="164"/>
        <v>-43.219286536116002</v>
      </c>
      <c r="AH160" s="4">
        <f t="shared" si="165"/>
        <v>237.35432277854295</v>
      </c>
      <c r="AI160" s="4">
        <f t="shared" si="166"/>
        <v>317.21688670581466</v>
      </c>
      <c r="AJ160" s="4">
        <f t="shared" si="167"/>
        <v>-33.228407889989846</v>
      </c>
      <c r="AK160" s="4">
        <f t="shared" si="168"/>
        <v>-1229.4164564506152</v>
      </c>
      <c r="AL160" s="4">
        <f t="shared" si="169"/>
        <v>-5058.7344038009633</v>
      </c>
      <c r="AM160" s="4">
        <f t="shared" si="170"/>
        <v>-102.36711122430567</v>
      </c>
      <c r="AN160" s="4">
        <f t="shared" si="171"/>
        <v>481.78512384694272</v>
      </c>
      <c r="AO160" s="4">
        <f t="shared" si="172"/>
        <v>3901.8911083767985</v>
      </c>
      <c r="AP160" s="4">
        <f t="shared" si="173"/>
        <v>8564.0073412982365</v>
      </c>
      <c r="AQ160" s="4">
        <f t="shared" si="174"/>
        <v>8.2083586611560969E-2</v>
      </c>
      <c r="AR160" s="4">
        <f t="shared" si="175"/>
        <v>-1.2245401056877476</v>
      </c>
      <c r="AS160" s="4">
        <f t="shared" si="176"/>
        <v>4.4108144380776107E-2</v>
      </c>
      <c r="AT160" s="4">
        <f t="shared" si="177"/>
        <v>7.8183205118731118</v>
      </c>
      <c r="AU160" s="4">
        <f t="shared" si="178"/>
        <v>2.9208169991527995</v>
      </c>
      <c r="AV160" s="4">
        <f t="shared" si="179"/>
        <v>-3.2363258143291086E-2</v>
      </c>
      <c r="AW160" s="4">
        <f t="shared" si="180"/>
        <v>-22.967002326927592</v>
      </c>
      <c r="AX160" s="4">
        <f t="shared" si="181"/>
        <v>-21.03604080220039</v>
      </c>
      <c r="AY160" s="4">
        <f t="shared" si="182"/>
        <v>28.087903233575503</v>
      </c>
      <c r="AZ160" s="4">
        <f t="shared" si="183"/>
        <v>118.02565630632284</v>
      </c>
      <c r="BA160" s="4">
        <f t="shared" si="184"/>
        <v>-0.49848597635062558</v>
      </c>
      <c r="BB160" s="4">
        <f t="shared" si="185"/>
        <v>-22.06828352149326</v>
      </c>
      <c r="BC160" s="4">
        <f t="shared" si="186"/>
        <v>-7.1738427173405803</v>
      </c>
      <c r="BD160" s="4">
        <f t="shared" si="187"/>
        <v>65.492765584243003</v>
      </c>
      <c r="BE160" s="4">
        <f t="shared" si="188"/>
        <v>107.75338841614607</v>
      </c>
      <c r="BF160" s="4">
        <f t="shared" si="189"/>
        <v>-44.316749601836953</v>
      </c>
      <c r="BG160" s="4">
        <f t="shared" si="190"/>
        <v>-18.844242788874286</v>
      </c>
      <c r="BH160" s="4">
        <f t="shared" si="191"/>
        <v>-185.56877548877807</v>
      </c>
      <c r="BI160" s="4">
        <f t="shared" si="192"/>
        <v>-13.935142376689058</v>
      </c>
      <c r="BJ160" s="4">
        <f t="shared" si="193"/>
        <v>-214.05132151437155</v>
      </c>
      <c r="BK160" s="4">
        <f t="shared" si="194"/>
        <v>0.28134944179351584</v>
      </c>
      <c r="BL160" s="4">
        <f t="shared" si="195"/>
        <v>15.162399992659251</v>
      </c>
      <c r="BM160" s="4">
        <f t="shared" si="196"/>
        <v>20.442372412111535</v>
      </c>
      <c r="BN160" s="4">
        <f t="shared" si="197"/>
        <v>-30.118949490291556</v>
      </c>
      <c r="BO160" s="4">
        <f t="shared" si="198"/>
        <v>-180.51524408788919</v>
      </c>
      <c r="BP160" s="4">
        <f t="shared" si="199"/>
        <v>-68.011474234936202</v>
      </c>
      <c r="BQ160" s="4">
        <f t="shared" si="200"/>
        <v>-33.475050826723788</v>
      </c>
      <c r="BR160" s="4">
        <f t="shared" si="201"/>
        <v>110.85136497091231</v>
      </c>
      <c r="BS160" s="4">
        <f t="shared" si="202"/>
        <v>560.91801151319703</v>
      </c>
      <c r="BT160" s="4">
        <f t="shared" si="203"/>
        <v>1367.092768092311</v>
      </c>
      <c r="BU160" s="4">
        <f t="shared" si="204"/>
        <v>11.049709541540404</v>
      </c>
      <c r="BV160" s="4">
        <f t="shared" si="205"/>
        <v>104.58860648514201</v>
      </c>
      <c r="BW160" s="4">
        <f t="shared" si="206"/>
        <v>-327.80753947999909</v>
      </c>
      <c r="BX160" s="4">
        <f t="shared" si="207"/>
        <v>-1108.8696942251843</v>
      </c>
      <c r="BY160" s="4">
        <f t="shared" si="208"/>
        <v>-1948.846304158631</v>
      </c>
      <c r="BZ160" s="6">
        <f t="shared" si="209"/>
        <v>-1.8122933982965606</v>
      </c>
      <c r="CA160" s="7"/>
      <c r="CB160" s="6">
        <v>-1.812293911199959</v>
      </c>
      <c r="CC160" s="6"/>
    </row>
    <row r="161" spans="1:81" x14ac:dyDescent="0.3">
      <c r="A161" s="4">
        <v>159</v>
      </c>
      <c r="B161" s="4">
        <v>44569225</v>
      </c>
      <c r="C161" s="4">
        <v>2.0110000000000001</v>
      </c>
      <c r="D161" s="4">
        <v>3.5129999999999999</v>
      </c>
      <c r="E161" s="4">
        <v>0.71099999999999997</v>
      </c>
      <c r="F161" s="4">
        <v>3.4689999999999999</v>
      </c>
      <c r="H161" s="6">
        <v>-2618.81325553337</v>
      </c>
      <c r="I161" s="4">
        <f t="shared" si="140"/>
        <v>93.336145023100002</v>
      </c>
      <c r="J161" s="4">
        <f t="shared" si="141"/>
        <v>-1728.846580893</v>
      </c>
      <c r="K161" s="4">
        <f t="shared" si="142"/>
        <v>1684.2357125999997</v>
      </c>
      <c r="L161" s="4">
        <f t="shared" si="143"/>
        <v>11210.09473028</v>
      </c>
      <c r="M161" s="4">
        <f t="shared" si="144"/>
        <v>15.625920683239222</v>
      </c>
      <c r="N161" s="4">
        <f t="shared" si="145"/>
        <v>17.871521144912609</v>
      </c>
      <c r="O161" s="4">
        <f t="shared" si="146"/>
        <v>-98.414733850668</v>
      </c>
      <c r="P161" s="4">
        <f t="shared" si="147"/>
        <v>-267.48322995816096</v>
      </c>
      <c r="Q161" s="4">
        <f t="shared" si="148"/>
        <v>-148.10584466931749</v>
      </c>
      <c r="R161" s="4">
        <f t="shared" si="149"/>
        <v>451.98304598539789</v>
      </c>
      <c r="S161" s="4">
        <f t="shared" si="150"/>
        <v>5156.2024095690986</v>
      </c>
      <c r="T161" s="4">
        <f t="shared" si="151"/>
        <v>-209.82696847824599</v>
      </c>
      <c r="U161" s="4">
        <f t="shared" si="152"/>
        <v>-5071.0774654872903</v>
      </c>
      <c r="V161" s="4">
        <f t="shared" si="153"/>
        <v>-17890.862140589699</v>
      </c>
      <c r="W161" s="4">
        <f t="shared" si="154"/>
        <v>-0.29429880060871383</v>
      </c>
      <c r="X161" s="4">
        <f t="shared" si="155"/>
        <v>1.8851015651644956</v>
      </c>
      <c r="Y161" s="4">
        <f t="shared" si="156"/>
        <v>1.7102338503995593</v>
      </c>
      <c r="Z161" s="4">
        <f t="shared" si="157"/>
        <v>-36.793609033820744</v>
      </c>
      <c r="AA161" s="4">
        <f t="shared" si="158"/>
        <v>5.7661843779118893</v>
      </c>
      <c r="AB161" s="4">
        <f t="shared" si="159"/>
        <v>-54.126352175076384</v>
      </c>
      <c r="AC161" s="4">
        <f t="shared" si="160"/>
        <v>0.85056998730809197</v>
      </c>
      <c r="AD161" s="4">
        <f t="shared" si="161"/>
        <v>83.410336969119882</v>
      </c>
      <c r="AE161" s="4">
        <f t="shared" si="162"/>
        <v>98.746235251104295</v>
      </c>
      <c r="AF161" s="4">
        <f t="shared" si="163"/>
        <v>289.0883309685733</v>
      </c>
      <c r="AG161" s="4">
        <f t="shared" si="164"/>
        <v>-18.768904523942769</v>
      </c>
      <c r="AH161" s="4">
        <f t="shared" si="165"/>
        <v>138.64968214721941</v>
      </c>
      <c r="AI161" s="4">
        <f t="shared" si="166"/>
        <v>206.36244832189644</v>
      </c>
      <c r="AJ161" s="4">
        <f t="shared" si="167"/>
        <v>-26.10908585990256</v>
      </c>
      <c r="AK161" s="4">
        <f t="shared" si="168"/>
        <v>-1075.8055891587653</v>
      </c>
      <c r="AL161" s="4">
        <f t="shared" si="169"/>
        <v>-4929.7999180863771</v>
      </c>
      <c r="AM161" s="4">
        <f t="shared" si="170"/>
        <v>-108.19395138617001</v>
      </c>
      <c r="AN161" s="4">
        <f t="shared" si="171"/>
        <v>567.08552384960785</v>
      </c>
      <c r="AO161" s="4">
        <f t="shared" si="172"/>
        <v>5114.7329210708331</v>
      </c>
      <c r="AP161" s="4">
        <f t="shared" si="173"/>
        <v>12501.942214481818</v>
      </c>
      <c r="AQ161" s="4">
        <f t="shared" si="174"/>
        <v>1.2069704921287942E-3</v>
      </c>
      <c r="AR161" s="4">
        <f t="shared" si="175"/>
        <v>-3.9156785940233051E-2</v>
      </c>
      <c r="AS161" s="4">
        <f t="shared" si="176"/>
        <v>1.8972004181530262E-3</v>
      </c>
      <c r="AT161" s="4">
        <f t="shared" si="177"/>
        <v>0.37450751360974305</v>
      </c>
      <c r="AU161" s="4">
        <f t="shared" si="178"/>
        <v>0.20311035543219241</v>
      </c>
      <c r="AV161" s="4">
        <f t="shared" si="179"/>
        <v>-3.0271947170759776E-3</v>
      </c>
      <c r="AW161" s="4">
        <f t="shared" si="180"/>
        <v>-2.3924621432111421</v>
      </c>
      <c r="AX161" s="4">
        <f t="shared" si="181"/>
        <v>-2.6467475807862448</v>
      </c>
      <c r="AY161" s="4">
        <f t="shared" si="182"/>
        <v>3.9356863559669315</v>
      </c>
      <c r="AZ161" s="4">
        <f t="shared" si="183"/>
        <v>18.41748079624346</v>
      </c>
      <c r="BA161" s="4">
        <f t="shared" si="184"/>
        <v>-7.5383163493481897E-2</v>
      </c>
      <c r="BB161" s="4">
        <f t="shared" si="185"/>
        <v>-4.4890078988930924</v>
      </c>
      <c r="BC161" s="4">
        <f t="shared" si="186"/>
        <v>-1.6251232592927809</v>
      </c>
      <c r="BD161" s="4">
        <f t="shared" si="187"/>
        <v>17.91989849921087</v>
      </c>
      <c r="BE161" s="4">
        <f t="shared" si="188"/>
        <v>32.834151071322793</v>
      </c>
      <c r="BF161" s="4">
        <f t="shared" si="189"/>
        <v>-15.038876625807486</v>
      </c>
      <c r="BG161" s="4">
        <f t="shared" si="190"/>
        <v>-6.9355563940717628</v>
      </c>
      <c r="BH161" s="4">
        <f t="shared" si="191"/>
        <v>-76.060672155145681</v>
      </c>
      <c r="BI161" s="4">
        <f t="shared" si="192"/>
        <v>-6.3609108370284826</v>
      </c>
      <c r="BJ161" s="4">
        <f t="shared" si="193"/>
        <v>-108.8124156406051</v>
      </c>
      <c r="BK161" s="4">
        <f t="shared" si="194"/>
        <v>9.2525441681419754E-2</v>
      </c>
      <c r="BL161" s="4">
        <f t="shared" si="195"/>
        <v>6.7072340180955292</v>
      </c>
      <c r="BM161" s="4">
        <f t="shared" si="196"/>
        <v>10.070695075744004</v>
      </c>
      <c r="BN161" s="4">
        <f t="shared" si="197"/>
        <v>-17.921556713611512</v>
      </c>
      <c r="BO161" s="4">
        <f t="shared" si="198"/>
        <v>-119.61962438430947</v>
      </c>
      <c r="BP161" s="4">
        <f t="shared" si="199"/>
        <v>-50.190714811732455</v>
      </c>
      <c r="BQ161" s="4">
        <f t="shared" si="200"/>
        <v>-26.792766344400579</v>
      </c>
      <c r="BR161" s="4">
        <f t="shared" si="201"/>
        <v>98.807519656223633</v>
      </c>
      <c r="BS161" s="4">
        <f t="shared" si="202"/>
        <v>556.8022463044997</v>
      </c>
      <c r="BT161" s="4">
        <f t="shared" si="203"/>
        <v>1511.305349016611</v>
      </c>
      <c r="BU161" s="4">
        <f t="shared" si="204"/>
        <v>11.896181305824879</v>
      </c>
      <c r="BV161" s="4">
        <f t="shared" si="205"/>
        <v>125.398900809412</v>
      </c>
      <c r="BW161" s="4">
        <f t="shared" si="206"/>
        <v>-437.7044195385854</v>
      </c>
      <c r="BX161" s="4">
        <f t="shared" si="207"/>
        <v>-1648.9031536539978</v>
      </c>
      <c r="BY161" s="4">
        <f t="shared" si="208"/>
        <v>-3227.3410714192737</v>
      </c>
      <c r="BZ161" s="6">
        <f t="shared" si="209"/>
        <v>-1.9267165118276353</v>
      </c>
      <c r="CA161" s="7"/>
      <c r="CB161" s="6">
        <v>-1.926714474567234</v>
      </c>
      <c r="CC161" s="6"/>
    </row>
    <row r="162" spans="1:81" x14ac:dyDescent="0.3">
      <c r="A162" s="4">
        <v>160</v>
      </c>
      <c r="B162" s="4">
        <v>73352061</v>
      </c>
      <c r="C162" s="4">
        <v>2.2080000000000002</v>
      </c>
      <c r="D162" s="4">
        <v>3.83</v>
      </c>
      <c r="E162" s="4">
        <v>0.70799999999999996</v>
      </c>
      <c r="F162" s="4">
        <v>3.4790000000000001</v>
      </c>
      <c r="H162" s="6">
        <v>-2618.81325553337</v>
      </c>
      <c r="I162" s="4">
        <f t="shared" si="140"/>
        <v>102.4794670368</v>
      </c>
      <c r="J162" s="4">
        <f t="shared" si="141"/>
        <v>-1884.85123963</v>
      </c>
      <c r="K162" s="4">
        <f t="shared" si="142"/>
        <v>1677.1292327999997</v>
      </c>
      <c r="L162" s="4">
        <f t="shared" si="143"/>
        <v>11242.40979148</v>
      </c>
      <c r="M162" s="4">
        <f t="shared" si="144"/>
        <v>18.837341556756481</v>
      </c>
      <c r="N162" s="4">
        <f t="shared" si="145"/>
        <v>21.392874427612799</v>
      </c>
      <c r="O162" s="4">
        <f t="shared" si="146"/>
        <v>-107.599629952512</v>
      </c>
      <c r="P162" s="4">
        <f t="shared" si="147"/>
        <v>-294.53281364572803</v>
      </c>
      <c r="Q162" s="4">
        <f t="shared" si="148"/>
        <v>-176.04084547175</v>
      </c>
      <c r="R162" s="4">
        <f t="shared" si="149"/>
        <v>490.68911686103991</v>
      </c>
      <c r="S162" s="4">
        <f t="shared" si="150"/>
        <v>5637.68375539719</v>
      </c>
      <c r="T162" s="4">
        <f t="shared" si="151"/>
        <v>-208.06001239766397</v>
      </c>
      <c r="U162" s="4">
        <f t="shared" si="152"/>
        <v>-5064.2371025509201</v>
      </c>
      <c r="V162" s="4">
        <f t="shared" si="153"/>
        <v>-17994.157896785699</v>
      </c>
      <c r="W162" s="4">
        <f t="shared" si="154"/>
        <v>-0.38953769272197131</v>
      </c>
      <c r="X162" s="4">
        <f t="shared" si="155"/>
        <v>2.4775896328835794</v>
      </c>
      <c r="Y162" s="4">
        <f t="shared" si="156"/>
        <v>2.0530198667440742</v>
      </c>
      <c r="Z162" s="4">
        <f t="shared" si="157"/>
        <v>-44.483250540236178</v>
      </c>
      <c r="AA162" s="4">
        <f t="shared" si="158"/>
        <v>7.5251779100879714</v>
      </c>
      <c r="AB162" s="4">
        <f t="shared" si="159"/>
        <v>-64.517872593029765</v>
      </c>
      <c r="AC162" s="4">
        <f t="shared" si="160"/>
        <v>1.0210988943617711</v>
      </c>
      <c r="AD162" s="4">
        <f t="shared" si="161"/>
        <v>90.810107143298154</v>
      </c>
      <c r="AE162" s="4">
        <f t="shared" si="162"/>
        <v>108.27328944298168</v>
      </c>
      <c r="AF162" s="4">
        <f t="shared" si="163"/>
        <v>319.24037922023666</v>
      </c>
      <c r="AG162" s="4">
        <f t="shared" si="164"/>
        <v>-24.322084760549536</v>
      </c>
      <c r="AH162" s="4">
        <f t="shared" si="165"/>
        <v>164.10574445193097</v>
      </c>
      <c r="AI162" s="4">
        <f t="shared" si="166"/>
        <v>245.99260355480754</v>
      </c>
      <c r="AJ162" s="4">
        <f t="shared" si="167"/>
        <v>-28.225367453552252</v>
      </c>
      <c r="AK162" s="4">
        <f t="shared" si="168"/>
        <v>-1171.3001699351466</v>
      </c>
      <c r="AL162" s="4">
        <f t="shared" si="169"/>
        <v>-5405.6780340847026</v>
      </c>
      <c r="AM162" s="4">
        <f t="shared" si="170"/>
        <v>-106.83017823557144</v>
      </c>
      <c r="AN162" s="4">
        <f t="shared" si="171"/>
        <v>563.93104536351768</v>
      </c>
      <c r="AO162" s="4">
        <f t="shared" si="172"/>
        <v>5122.557896460773</v>
      </c>
      <c r="AP162" s="4">
        <f t="shared" si="173"/>
        <v>12610.371293887118</v>
      </c>
      <c r="AQ162" s="4">
        <f t="shared" si="174"/>
        <v>1.7540608141292284E-3</v>
      </c>
      <c r="AR162" s="4">
        <f t="shared" si="175"/>
        <v>-5.6505231229842044E-2</v>
      </c>
      <c r="AS162" s="4">
        <f t="shared" si="176"/>
        <v>2.5005633642561694E-3</v>
      </c>
      <c r="AT162" s="4">
        <f t="shared" si="177"/>
        <v>0.49713193162462344</v>
      </c>
      <c r="AU162" s="4">
        <f t="shared" si="178"/>
        <v>0.29103640115190932</v>
      </c>
      <c r="AV162" s="4">
        <f t="shared" si="179"/>
        <v>-3.9618555302596212E-3</v>
      </c>
      <c r="AW162" s="4">
        <f t="shared" si="180"/>
        <v>-3.1534781378968404</v>
      </c>
      <c r="AX162" s="4">
        <f t="shared" si="181"/>
        <v>-3.1638350691974697</v>
      </c>
      <c r="AY162" s="4">
        <f t="shared" si="182"/>
        <v>4.7381440924259532</v>
      </c>
      <c r="AZ162" s="4">
        <f t="shared" si="183"/>
        <v>22.330810206150762</v>
      </c>
      <c r="BA162" s="4">
        <f t="shared" si="184"/>
        <v>-0.10725640342156466</v>
      </c>
      <c r="BB162" s="4">
        <f t="shared" si="185"/>
        <v>-5.8336755761742891</v>
      </c>
      <c r="BC162" s="4">
        <f t="shared" si="186"/>
        <v>-2.126986247253253</v>
      </c>
      <c r="BD162" s="4">
        <f t="shared" si="187"/>
        <v>21.270146540727445</v>
      </c>
      <c r="BE162" s="4">
        <f t="shared" si="188"/>
        <v>39.250681397799944</v>
      </c>
      <c r="BF162" s="4">
        <f t="shared" si="189"/>
        <v>-18.106031724336138</v>
      </c>
      <c r="BG162" s="4">
        <f t="shared" si="190"/>
        <v>-7.5189860094651655</v>
      </c>
      <c r="BH162" s="4">
        <f t="shared" si="191"/>
        <v>-83.047124622847591</v>
      </c>
      <c r="BI162" s="4">
        <f t="shared" si="192"/>
        <v>-6.9947181787290553</v>
      </c>
      <c r="BJ162" s="4">
        <f t="shared" si="193"/>
        <v>-120.50798838996117</v>
      </c>
      <c r="BK162" s="4">
        <f t="shared" si="194"/>
        <v>0.13072048894975219</v>
      </c>
      <c r="BL162" s="4">
        <f t="shared" si="195"/>
        <v>8.6550381956191025</v>
      </c>
      <c r="BM162" s="4">
        <f t="shared" si="196"/>
        <v>13.087944596000472</v>
      </c>
      <c r="BN162" s="4">
        <f t="shared" si="197"/>
        <v>-21.122450119419348</v>
      </c>
      <c r="BO162" s="4">
        <f t="shared" si="198"/>
        <v>-141.98990498618687</v>
      </c>
      <c r="BP162" s="4">
        <f t="shared" si="199"/>
        <v>-60.001884007981509</v>
      </c>
      <c r="BQ162" s="4">
        <f t="shared" si="200"/>
        <v>-28.842250984231594</v>
      </c>
      <c r="BR162" s="4">
        <f t="shared" si="201"/>
        <v>107.12431661886262</v>
      </c>
      <c r="BS162" s="4">
        <f t="shared" si="202"/>
        <v>607.97471473048404</v>
      </c>
      <c r="BT162" s="4">
        <f t="shared" si="203"/>
        <v>1661.9701922272423</v>
      </c>
      <c r="BU162" s="4">
        <f t="shared" si="204"/>
        <v>11.696669059608533</v>
      </c>
      <c r="BV162" s="4">
        <f t="shared" si="205"/>
        <v>124.17518893804808</v>
      </c>
      <c r="BW162" s="4">
        <f t="shared" si="206"/>
        <v>-436.52437929229467</v>
      </c>
      <c r="BX162" s="4">
        <f t="shared" si="207"/>
        <v>-1656.1863170671688</v>
      </c>
      <c r="BY162" s="4">
        <f t="shared" si="208"/>
        <v>-3264.715795813443</v>
      </c>
      <c r="BZ162" s="6">
        <f t="shared" si="209"/>
        <v>-1.8650055429097847</v>
      </c>
      <c r="CA162" s="7"/>
      <c r="CB162" s="6">
        <v>-1.865004038226743</v>
      </c>
      <c r="CC162" s="6"/>
    </row>
    <row r="163" spans="1:81" x14ac:dyDescent="0.3">
      <c r="A163" s="4">
        <v>161</v>
      </c>
      <c r="B163" s="4">
        <v>44569226</v>
      </c>
      <c r="C163" s="4">
        <v>2.1960000000000002</v>
      </c>
      <c r="D163" s="4">
        <v>3.5649999999999999</v>
      </c>
      <c r="E163" s="4">
        <v>0.68899999999999995</v>
      </c>
      <c r="F163" s="4">
        <v>3.4689999999999999</v>
      </c>
      <c r="H163" s="6">
        <v>-2618.81325553337</v>
      </c>
      <c r="I163" s="4">
        <f t="shared" si="140"/>
        <v>101.92251341160001</v>
      </c>
      <c r="J163" s="4">
        <f t="shared" si="141"/>
        <v>-1754.437250465</v>
      </c>
      <c r="K163" s="4">
        <f t="shared" si="142"/>
        <v>1632.1215273999999</v>
      </c>
      <c r="L163" s="4">
        <f t="shared" si="143"/>
        <v>11210.09473028</v>
      </c>
      <c r="M163" s="4">
        <f t="shared" si="144"/>
        <v>18.633144240141124</v>
      </c>
      <c r="N163" s="4">
        <f t="shared" si="145"/>
        <v>19.804467465379798</v>
      </c>
      <c r="O163" s="4">
        <f t="shared" si="146"/>
        <v>-104.14298192875199</v>
      </c>
      <c r="P163" s="4">
        <f t="shared" si="147"/>
        <v>-292.09009099359599</v>
      </c>
      <c r="Q163" s="4">
        <f t="shared" si="148"/>
        <v>-152.52286908293749</v>
      </c>
      <c r="R163" s="4">
        <f t="shared" si="149"/>
        <v>444.48094784300991</v>
      </c>
      <c r="S163" s="4">
        <f t="shared" si="150"/>
        <v>5232.5253601234954</v>
      </c>
      <c r="T163" s="4">
        <f t="shared" si="151"/>
        <v>-197.04279011744597</v>
      </c>
      <c r="U163" s="4">
        <f t="shared" si="152"/>
        <v>-4914.1664890587108</v>
      </c>
      <c r="V163" s="4">
        <f t="shared" si="153"/>
        <v>-17890.862140589699</v>
      </c>
      <c r="W163" s="4">
        <f t="shared" si="154"/>
        <v>-0.38322098932059373</v>
      </c>
      <c r="X163" s="4">
        <f t="shared" si="155"/>
        <v>2.2811648382378675</v>
      </c>
      <c r="Y163" s="4">
        <f t="shared" si="156"/>
        <v>1.9762671404197143</v>
      </c>
      <c r="Z163" s="4">
        <f t="shared" si="157"/>
        <v>-43.874574698047283</v>
      </c>
      <c r="AA163" s="4">
        <f t="shared" si="158"/>
        <v>6.4844263084743528</v>
      </c>
      <c r="AB163" s="4">
        <f t="shared" si="159"/>
        <v>-58.124607029961027</v>
      </c>
      <c r="AC163" s="4">
        <f t="shared" si="160"/>
        <v>0.94256585682225591</v>
      </c>
      <c r="AD163" s="4">
        <f t="shared" si="161"/>
        <v>85.534118355219476</v>
      </c>
      <c r="AE163" s="4">
        <f t="shared" si="162"/>
        <v>104.49377843049714</v>
      </c>
      <c r="AF163" s="4">
        <f t="shared" si="163"/>
        <v>315.68273237542866</v>
      </c>
      <c r="AG163" s="4">
        <f t="shared" si="164"/>
        <v>-19.614763598418136</v>
      </c>
      <c r="AH163" s="4">
        <f t="shared" si="165"/>
        <v>138.36659963643743</v>
      </c>
      <c r="AI163" s="4">
        <f t="shared" si="166"/>
        <v>212.51688452478484</v>
      </c>
      <c r="AJ163" s="4">
        <f t="shared" si="167"/>
        <v>-24.881255628748008</v>
      </c>
      <c r="AK163" s="4">
        <f t="shared" si="168"/>
        <v>-1057.9491691366318</v>
      </c>
      <c r="AL163" s="4">
        <f t="shared" si="169"/>
        <v>-5002.7716219692384</v>
      </c>
      <c r="AM163" s="4">
        <f t="shared" si="170"/>
        <v>-98.458189533171549</v>
      </c>
      <c r="AN163" s="4">
        <f t="shared" si="171"/>
        <v>532.53456724331863</v>
      </c>
      <c r="AO163" s="4">
        <f t="shared" si="172"/>
        <v>4956.471142922368</v>
      </c>
      <c r="AP163" s="4">
        <f t="shared" si="173"/>
        <v>12501.942214481818</v>
      </c>
      <c r="AQ163" s="4">
        <f t="shared" si="174"/>
        <v>1.7162387892514603E-3</v>
      </c>
      <c r="AR163" s="4">
        <f t="shared" si="175"/>
        <v>-5.1742715470186502E-2</v>
      </c>
      <c r="AS163" s="4">
        <f t="shared" si="176"/>
        <v>2.3939971465250084E-3</v>
      </c>
      <c r="AT163" s="4">
        <f t="shared" si="177"/>
        <v>0.48766471211120532</v>
      </c>
      <c r="AU163" s="4">
        <f t="shared" si="178"/>
        <v>0.24942234918260889</v>
      </c>
      <c r="AV163" s="4">
        <f t="shared" si="179"/>
        <v>-3.5498654530808017E-3</v>
      </c>
      <c r="AW163" s="4">
        <f t="shared" si="180"/>
        <v>-2.8951227980293104</v>
      </c>
      <c r="AX163" s="4">
        <f t="shared" si="181"/>
        <v>-2.9638232290796132</v>
      </c>
      <c r="AY163" s="4">
        <f t="shared" si="182"/>
        <v>4.547897130254146</v>
      </c>
      <c r="AZ163" s="4">
        <f t="shared" si="183"/>
        <v>21.961942798323093</v>
      </c>
      <c r="BA163" s="4">
        <f t="shared" si="184"/>
        <v>-8.6027792172346879E-2</v>
      </c>
      <c r="BB163" s="4">
        <f t="shared" si="185"/>
        <v>-4.8919614356182928</v>
      </c>
      <c r="BC163" s="4">
        <f t="shared" si="186"/>
        <v>-1.8275503047455142</v>
      </c>
      <c r="BD163" s="4">
        <f t="shared" si="187"/>
        <v>18.648179348952098</v>
      </c>
      <c r="BE163" s="4">
        <f t="shared" si="188"/>
        <v>35.259574153637637</v>
      </c>
      <c r="BF163" s="4">
        <f t="shared" si="189"/>
        <v>-16.665450044046683</v>
      </c>
      <c r="BG163" s="4">
        <f t="shared" si="190"/>
        <v>-6.8920820030878538</v>
      </c>
      <c r="BH163" s="4">
        <f t="shared" si="191"/>
        <v>-77.997317487211973</v>
      </c>
      <c r="BI163" s="4">
        <f t="shared" si="192"/>
        <v>-6.7311488476536034</v>
      </c>
      <c r="BJ163" s="4">
        <f t="shared" si="193"/>
        <v>-118.8225085762152</v>
      </c>
      <c r="BK163" s="4">
        <f t="shared" si="194"/>
        <v>9.8126589454636814E-2</v>
      </c>
      <c r="BL163" s="4">
        <f t="shared" si="195"/>
        <v>6.792618657647723</v>
      </c>
      <c r="BM163" s="4">
        <f t="shared" si="196"/>
        <v>10.524551549105349</v>
      </c>
      <c r="BN163" s="4">
        <f t="shared" si="197"/>
        <v>-17.331563475875136</v>
      </c>
      <c r="BO163" s="4">
        <f t="shared" si="198"/>
        <v>-119.37539574212947</v>
      </c>
      <c r="BP163" s="4">
        <f t="shared" si="199"/>
        <v>-51.687574123094862</v>
      </c>
      <c r="BQ163" s="4">
        <f t="shared" si="200"/>
        <v>-24.74274074536509</v>
      </c>
      <c r="BR163" s="4">
        <f t="shared" si="201"/>
        <v>94.160905050477268</v>
      </c>
      <c r="BS163" s="4">
        <f t="shared" si="202"/>
        <v>547.56033970030069</v>
      </c>
      <c r="BT163" s="4">
        <f t="shared" si="203"/>
        <v>1533.675937729638</v>
      </c>
      <c r="BU163" s="4">
        <f t="shared" si="204"/>
        <v>10.490738442074857</v>
      </c>
      <c r="BV163" s="4">
        <f t="shared" si="205"/>
        <v>114.11496285108112</v>
      </c>
      <c r="BW163" s="4">
        <f t="shared" si="206"/>
        <v>-411.03629670731146</v>
      </c>
      <c r="BX163" s="4">
        <f t="shared" si="207"/>
        <v>-1597.8822403201189</v>
      </c>
      <c r="BY163" s="4">
        <f t="shared" si="208"/>
        <v>-3227.3410714192737</v>
      </c>
      <c r="BZ163" s="6">
        <f t="shared" si="209"/>
        <v>-1.9743138093745074</v>
      </c>
      <c r="CA163" s="7"/>
      <c r="CB163" s="6">
        <v>-1.9743118290134589</v>
      </c>
      <c r="CC163" s="6"/>
    </row>
    <row r="164" spans="1:81" x14ac:dyDescent="0.3">
      <c r="A164" s="4">
        <v>162</v>
      </c>
      <c r="B164" s="4">
        <v>360322</v>
      </c>
      <c r="C164" s="4">
        <v>1.802</v>
      </c>
      <c r="D164" s="4">
        <v>3.2669999999999999</v>
      </c>
      <c r="E164" s="4">
        <v>0.77</v>
      </c>
      <c r="F164" s="4">
        <v>3.427</v>
      </c>
      <c r="H164" s="6">
        <v>-2618.81325553337</v>
      </c>
      <c r="I164" s="4">
        <f t="shared" si="140"/>
        <v>83.635869384200006</v>
      </c>
      <c r="J164" s="4">
        <f t="shared" si="141"/>
        <v>-1607.7830286870001</v>
      </c>
      <c r="K164" s="4">
        <f t="shared" si="142"/>
        <v>1823.996482</v>
      </c>
      <c r="L164" s="4">
        <f t="shared" si="143"/>
        <v>11074.37147324</v>
      </c>
      <c r="M164" s="4">
        <f t="shared" si="144"/>
        <v>12.546744310147281</v>
      </c>
      <c r="N164" s="4">
        <f t="shared" si="145"/>
        <v>14.892761002068177</v>
      </c>
      <c r="O164" s="4">
        <f t="shared" si="146"/>
        <v>-95.504528054319991</v>
      </c>
      <c r="P164" s="4">
        <f t="shared" si="147"/>
        <v>-236.78221531046597</v>
      </c>
      <c r="Q164" s="4">
        <f t="shared" si="148"/>
        <v>-128.08968767421749</v>
      </c>
      <c r="R164" s="4">
        <f t="shared" si="149"/>
        <v>455.21257817574002</v>
      </c>
      <c r="S164" s="4">
        <f t="shared" si="150"/>
        <v>4737.0803008713028</v>
      </c>
      <c r="T164" s="4">
        <f t="shared" si="151"/>
        <v>-246.09543344539998</v>
      </c>
      <c r="U164" s="4">
        <f t="shared" si="152"/>
        <v>-5425.3926398749009</v>
      </c>
      <c r="V164" s="4">
        <f t="shared" si="153"/>
        <v>-17460.266912343301</v>
      </c>
      <c r="W164" s="4">
        <f t="shared" si="154"/>
        <v>-0.21174669492215584</v>
      </c>
      <c r="X164" s="4">
        <f t="shared" si="155"/>
        <v>1.4076386107632355</v>
      </c>
      <c r="Y164" s="4">
        <f t="shared" si="156"/>
        <v>1.4871749263090566</v>
      </c>
      <c r="Z164" s="4">
        <f t="shared" si="157"/>
        <v>-29.185532793792635</v>
      </c>
      <c r="AA164" s="4">
        <f t="shared" si="158"/>
        <v>4.4686177942368914</v>
      </c>
      <c r="AB164" s="4">
        <f t="shared" si="159"/>
        <v>-48.847639759192887</v>
      </c>
      <c r="AC164" s="4">
        <f t="shared" si="160"/>
        <v>0.70021846603647364</v>
      </c>
      <c r="AD164" s="4">
        <f t="shared" si="161"/>
        <v>87.660681090342365</v>
      </c>
      <c r="AE164" s="4">
        <f t="shared" si="162"/>
        <v>94.66603598683632</v>
      </c>
      <c r="AF164" s="4">
        <f t="shared" si="163"/>
        <v>252.8092073548822</v>
      </c>
      <c r="AG164" s="4">
        <f t="shared" si="164"/>
        <v>-15.095652127240305</v>
      </c>
      <c r="AH164" s="4">
        <f t="shared" si="165"/>
        <v>129.86196560319766</v>
      </c>
      <c r="AI164" s="4">
        <f t="shared" si="166"/>
        <v>176.31223296490268</v>
      </c>
      <c r="AJ164" s="4">
        <f t="shared" si="167"/>
        <v>-28.477699303893839</v>
      </c>
      <c r="AK164" s="4">
        <f t="shared" si="168"/>
        <v>-1070.374391079923</v>
      </c>
      <c r="AL164" s="4">
        <f t="shared" si="169"/>
        <v>-4474.2462948480215</v>
      </c>
      <c r="AM164" s="4">
        <f t="shared" si="170"/>
        <v>-137.42519295520401</v>
      </c>
      <c r="AN164" s="4">
        <f t="shared" si="171"/>
        <v>657.05332072001931</v>
      </c>
      <c r="AO164" s="4">
        <f t="shared" si="172"/>
        <v>5405.8463106636518</v>
      </c>
      <c r="AP164" s="4">
        <f t="shared" si="173"/>
        <v>12053.325947724685</v>
      </c>
      <c r="AQ164" s="4">
        <f t="shared" si="174"/>
        <v>7.7815751653473645E-4</v>
      </c>
      <c r="AR164" s="4">
        <f t="shared" si="175"/>
        <v>-2.6200294305686895E-2</v>
      </c>
      <c r="AS164" s="4">
        <f t="shared" si="176"/>
        <v>1.478299684727558E-3</v>
      </c>
      <c r="AT164" s="4">
        <f t="shared" si="177"/>
        <v>0.26619413832193756</v>
      </c>
      <c r="AU164" s="4">
        <f t="shared" si="178"/>
        <v>0.14104557563624484</v>
      </c>
      <c r="AV164" s="4">
        <f t="shared" si="179"/>
        <v>-2.4480365519553809E-3</v>
      </c>
      <c r="AW164" s="4">
        <f t="shared" si="180"/>
        <v>-1.7648642092243052</v>
      </c>
      <c r="AX164" s="4">
        <f t="shared" si="181"/>
        <v>-2.4925289187397048</v>
      </c>
      <c r="AY164" s="4">
        <f t="shared" si="182"/>
        <v>3.3809351633394016</v>
      </c>
      <c r="AZ164" s="4">
        <f t="shared" si="183"/>
        <v>14.432290665777758</v>
      </c>
      <c r="BA164" s="4">
        <f t="shared" si="184"/>
        <v>-5.4328789545169849E-2</v>
      </c>
      <c r="BB164" s="4">
        <f t="shared" si="185"/>
        <v>-3.7675253176895382</v>
      </c>
      <c r="BC164" s="4">
        <f t="shared" si="186"/>
        <v>-1.2441730679025329</v>
      </c>
      <c r="BD164" s="4">
        <f t="shared" si="187"/>
        <v>17.51424800251834</v>
      </c>
      <c r="BE164" s="4">
        <f t="shared" si="188"/>
        <v>29.273214956314433</v>
      </c>
      <c r="BF164" s="4">
        <f t="shared" si="189"/>
        <v>-12.230626572899103</v>
      </c>
      <c r="BG164" s="4">
        <f t="shared" si="190"/>
        <v>-7.8938232292369648</v>
      </c>
      <c r="BH164" s="4">
        <f t="shared" si="191"/>
        <v>-78.968689070263522</v>
      </c>
      <c r="BI164" s="4">
        <f t="shared" si="192"/>
        <v>-6.0242468277307717</v>
      </c>
      <c r="BJ164" s="4">
        <f t="shared" si="193"/>
        <v>-94.004919439681572</v>
      </c>
      <c r="BK164" s="4">
        <f t="shared" si="194"/>
        <v>6.9206216281450544E-2</v>
      </c>
      <c r="BL164" s="4">
        <f t="shared" si="195"/>
        <v>5.8422150316991797</v>
      </c>
      <c r="BM164" s="4">
        <f t="shared" si="196"/>
        <v>8.001698900227634</v>
      </c>
      <c r="BN164" s="4">
        <f t="shared" si="197"/>
        <v>-18.178579724130753</v>
      </c>
      <c r="BO164" s="4">
        <f t="shared" si="198"/>
        <v>-110.68157556738565</v>
      </c>
      <c r="BP164" s="4">
        <f t="shared" si="199"/>
        <v>-42.362829464063026</v>
      </c>
      <c r="BQ164" s="4">
        <f t="shared" si="200"/>
        <v>-31.648411350398788</v>
      </c>
      <c r="BR164" s="4">
        <f t="shared" si="201"/>
        <v>106.46651430815224</v>
      </c>
      <c r="BS164" s="4">
        <f t="shared" si="202"/>
        <v>547.28393115920778</v>
      </c>
      <c r="BT164" s="4">
        <f t="shared" si="203"/>
        <v>1355.0415675034942</v>
      </c>
      <c r="BU164" s="4">
        <f t="shared" si="204"/>
        <v>16.364098021620887</v>
      </c>
      <c r="BV164" s="4">
        <f t="shared" si="205"/>
        <v>157.35005809569662</v>
      </c>
      <c r="BW164" s="4">
        <f t="shared" si="206"/>
        <v>-501.00584176736839</v>
      </c>
      <c r="BX164" s="4">
        <f t="shared" si="207"/>
        <v>-1721.6532503887504</v>
      </c>
      <c r="BY164" s="4">
        <f t="shared" si="208"/>
        <v>-3073.8599979236797</v>
      </c>
      <c r="BZ164" s="6">
        <f t="shared" si="209"/>
        <v>-1.6916753599007279</v>
      </c>
      <c r="CA164" s="7"/>
      <c r="CB164" s="6">
        <v>-1.6916731152768989</v>
      </c>
      <c r="CC164" s="6"/>
    </row>
    <row r="165" spans="1:81" x14ac:dyDescent="0.3">
      <c r="A165" s="4">
        <v>163</v>
      </c>
      <c r="B165" s="4">
        <v>44569246</v>
      </c>
      <c r="C165" s="4">
        <v>2.1120000000000001</v>
      </c>
      <c r="D165" s="4">
        <v>3.8260000000000001</v>
      </c>
      <c r="E165" s="4">
        <v>0.77300000000000002</v>
      </c>
      <c r="F165" s="4">
        <v>3.4809999999999999</v>
      </c>
      <c r="H165" s="6">
        <v>-2618.81325553337</v>
      </c>
      <c r="I165" s="4">
        <f t="shared" si="140"/>
        <v>98.023838035200001</v>
      </c>
      <c r="J165" s="4">
        <f t="shared" si="141"/>
        <v>-1882.882726586</v>
      </c>
      <c r="K165" s="4">
        <f t="shared" si="142"/>
        <v>1831.1029618</v>
      </c>
      <c r="L165" s="4">
        <f t="shared" si="143"/>
        <v>11248.87280372</v>
      </c>
      <c r="M165" s="4">
        <f t="shared" si="144"/>
        <v>17.234921197486084</v>
      </c>
      <c r="N165" s="4">
        <f t="shared" si="145"/>
        <v>20.441378434794242</v>
      </c>
      <c r="O165" s="4">
        <f t="shared" si="146"/>
        <v>-112.37038239820799</v>
      </c>
      <c r="P165" s="4">
        <f t="shared" si="147"/>
        <v>-281.88899777068798</v>
      </c>
      <c r="Q165" s="4">
        <f t="shared" si="148"/>
        <v>-175.67332814927002</v>
      </c>
      <c r="R165" s="4">
        <f t="shared" si="149"/>
        <v>535.17874118182795</v>
      </c>
      <c r="S165" s="4">
        <f t="shared" si="150"/>
        <v>5635.0334296423016</v>
      </c>
      <c r="T165" s="4">
        <f t="shared" si="151"/>
        <v>-248.01679583605397</v>
      </c>
      <c r="U165" s="4">
        <f t="shared" si="152"/>
        <v>-5532.3527243470307</v>
      </c>
      <c r="V165" s="4">
        <f t="shared" si="153"/>
        <v>-18014.852728769696</v>
      </c>
      <c r="W165" s="4">
        <f t="shared" si="154"/>
        <v>-0.3409055109808129</v>
      </c>
      <c r="X165" s="4">
        <f t="shared" si="155"/>
        <v>2.2644631432969673</v>
      </c>
      <c r="Y165" s="4">
        <f t="shared" si="156"/>
        <v>2.0508272424911467</v>
      </c>
      <c r="Z165" s="4">
        <f t="shared" si="157"/>
        <v>-40.722628204111011</v>
      </c>
      <c r="AA165" s="4">
        <f t="shared" si="158"/>
        <v>7.1829691338503494</v>
      </c>
      <c r="AB165" s="4">
        <f t="shared" si="159"/>
        <v>-67.308096904602053</v>
      </c>
      <c r="AC165" s="4">
        <f t="shared" si="160"/>
        <v>0.97624413327239223</v>
      </c>
      <c r="AD165" s="4">
        <f t="shared" si="161"/>
        <v>103.54318155416253</v>
      </c>
      <c r="AE165" s="4">
        <f t="shared" si="162"/>
        <v>113.13891428881095</v>
      </c>
      <c r="AF165" s="4">
        <f t="shared" si="163"/>
        <v>305.71155345983345</v>
      </c>
      <c r="AG165" s="4">
        <f t="shared" si="164"/>
        <v>-24.245959354966786</v>
      </c>
      <c r="AH165" s="4">
        <f t="shared" si="165"/>
        <v>178.79789573119902</v>
      </c>
      <c r="AI165" s="4">
        <f t="shared" si="166"/>
        <v>245.620169664098</v>
      </c>
      <c r="AJ165" s="4">
        <f t="shared" si="167"/>
        <v>-33.610755042116068</v>
      </c>
      <c r="AK165" s="4">
        <f t="shared" si="168"/>
        <v>-1278.2335983386865</v>
      </c>
      <c r="AL165" s="4">
        <f t="shared" si="169"/>
        <v>-5406.2429198934733</v>
      </c>
      <c r="AM165" s="4">
        <f t="shared" si="170"/>
        <v>-139.03772776072739</v>
      </c>
      <c r="AN165" s="4">
        <f t="shared" si="171"/>
        <v>672.61735812697088</v>
      </c>
      <c r="AO165" s="4">
        <f t="shared" si="172"/>
        <v>5599.2814872640265</v>
      </c>
      <c r="AP165" s="4">
        <f t="shared" si="173"/>
        <v>12632.132067855593</v>
      </c>
      <c r="AQ165" s="4">
        <f t="shared" si="174"/>
        <v>1.4683311954812074E-3</v>
      </c>
      <c r="AR165" s="4">
        <f t="shared" si="175"/>
        <v>-4.9399139356957708E-2</v>
      </c>
      <c r="AS165" s="4">
        <f t="shared" si="176"/>
        <v>2.3892887305513298E-3</v>
      </c>
      <c r="AT165" s="4">
        <f t="shared" si="177"/>
        <v>0.43531716127609332</v>
      </c>
      <c r="AU165" s="4">
        <f t="shared" si="178"/>
        <v>0.26572314532760627</v>
      </c>
      <c r="AV165" s="4">
        <f t="shared" si="179"/>
        <v>-3.953490981359796E-3</v>
      </c>
      <c r="AW165" s="4">
        <f t="shared" si="180"/>
        <v>-2.8838674843142309</v>
      </c>
      <c r="AX165" s="4">
        <f t="shared" si="181"/>
        <v>-3.4506109622935508</v>
      </c>
      <c r="AY165" s="4">
        <f t="shared" si="182"/>
        <v>4.7358047017211247</v>
      </c>
      <c r="AZ165" s="4">
        <f t="shared" si="183"/>
        <v>20.454711531153688</v>
      </c>
      <c r="BA165" s="4">
        <f t="shared" si="184"/>
        <v>-0.10227197666052239</v>
      </c>
      <c r="BB165" s="4">
        <f t="shared" si="185"/>
        <v>-6.0796102403369936</v>
      </c>
      <c r="BC165" s="4">
        <f t="shared" si="186"/>
        <v>-2.0314283293264306</v>
      </c>
      <c r="BD165" s="4">
        <f t="shared" si="187"/>
        <v>24.227242757498626</v>
      </c>
      <c r="BE165" s="4">
        <f t="shared" si="188"/>
        <v>40.971707902017094</v>
      </c>
      <c r="BF165" s="4">
        <f t="shared" si="189"/>
        <v>-17.320622745491139</v>
      </c>
      <c r="BG165" s="4">
        <f t="shared" si="190"/>
        <v>-9.3603659955483902</v>
      </c>
      <c r="BH165" s="4">
        <f t="shared" si="191"/>
        <v>-94.746137039007778</v>
      </c>
      <c r="BI165" s="4">
        <f t="shared" si="192"/>
        <v>-7.3132512036666473</v>
      </c>
      <c r="BJ165" s="4">
        <f t="shared" si="193"/>
        <v>-115.4674208758608</v>
      </c>
      <c r="BK165" s="4">
        <f t="shared" si="194"/>
        <v>0.13017525303355718</v>
      </c>
      <c r="BL165" s="4">
        <f t="shared" si="195"/>
        <v>9.4200628460029581</v>
      </c>
      <c r="BM165" s="4">
        <f t="shared" si="196"/>
        <v>13.054481213037585</v>
      </c>
      <c r="BN165" s="4">
        <f t="shared" si="197"/>
        <v>-25.126335193324227</v>
      </c>
      <c r="BO165" s="4">
        <f t="shared" si="198"/>
        <v>-154.79099174982505</v>
      </c>
      <c r="BP165" s="4">
        <f t="shared" si="199"/>
        <v>-59.945482419671691</v>
      </c>
      <c r="BQ165" s="4">
        <f t="shared" si="200"/>
        <v>-37.498513517164518</v>
      </c>
      <c r="BR165" s="4">
        <f t="shared" si="201"/>
        <v>127.63692218649653</v>
      </c>
      <c r="BS165" s="4">
        <f t="shared" si="202"/>
        <v>663.86096767815559</v>
      </c>
      <c r="BT165" s="4">
        <f t="shared" si="203"/>
        <v>1663.0993954651588</v>
      </c>
      <c r="BU165" s="4">
        <f t="shared" si="204"/>
        <v>16.620617206091605</v>
      </c>
      <c r="BV165" s="4">
        <f t="shared" si="205"/>
        <v>161.70488232973292</v>
      </c>
      <c r="BW165" s="4">
        <f t="shared" si="206"/>
        <v>-520.95494525910533</v>
      </c>
      <c r="BX165" s="4">
        <f t="shared" si="207"/>
        <v>-1811.3576605667633</v>
      </c>
      <c r="BY165" s="4">
        <f t="shared" si="208"/>
        <v>-3272.2295229627298</v>
      </c>
      <c r="BZ165" s="6">
        <f t="shared" si="209"/>
        <v>-1.4788469455643281</v>
      </c>
      <c r="CA165" s="7"/>
      <c r="CB165" s="6">
        <v>-1.478845728468059</v>
      </c>
      <c r="CC165" s="6"/>
    </row>
    <row r="166" spans="1:81" x14ac:dyDescent="0.3">
      <c r="A166" s="4">
        <v>164</v>
      </c>
      <c r="B166" s="4">
        <v>164625255</v>
      </c>
      <c r="C166" s="4">
        <v>2.903</v>
      </c>
      <c r="D166" s="4">
        <v>4.01</v>
      </c>
      <c r="E166" s="4">
        <v>0.45900000000000002</v>
      </c>
      <c r="F166" s="4">
        <v>3.5390000000000001</v>
      </c>
      <c r="H166" s="6">
        <v>-2618.81325553337</v>
      </c>
      <c r="I166" s="4">
        <f t="shared" si="140"/>
        <v>134.73636449630001</v>
      </c>
      <c r="J166" s="4">
        <f t="shared" si="141"/>
        <v>-1973.43432661</v>
      </c>
      <c r="K166" s="4">
        <f t="shared" si="142"/>
        <v>1087.2914094</v>
      </c>
      <c r="L166" s="4">
        <f t="shared" si="143"/>
        <v>11436.30015868</v>
      </c>
      <c r="M166" s="4">
        <f t="shared" si="144"/>
        <v>32.562335449215382</v>
      </c>
      <c r="N166" s="4">
        <f t="shared" si="145"/>
        <v>29.448468067468095</v>
      </c>
      <c r="O166" s="4">
        <f t="shared" si="146"/>
        <v>-91.714535817515994</v>
      </c>
      <c r="P166" s="4">
        <f t="shared" si="147"/>
        <v>-393.91977832444297</v>
      </c>
      <c r="Q166" s="4">
        <f t="shared" si="148"/>
        <v>-192.97659669574998</v>
      </c>
      <c r="R166" s="4">
        <f t="shared" si="149"/>
        <v>333.06688262573994</v>
      </c>
      <c r="S166" s="4">
        <f t="shared" si="150"/>
        <v>6004.4390828001306</v>
      </c>
      <c r="T166" s="4">
        <f t="shared" si="151"/>
        <v>-87.447515624405995</v>
      </c>
      <c r="U166" s="4">
        <f t="shared" si="152"/>
        <v>-3339.7933255793109</v>
      </c>
      <c r="V166" s="4">
        <f t="shared" si="153"/>
        <v>-18620.176564301702</v>
      </c>
      <c r="W166" s="4">
        <f t="shared" si="154"/>
        <v>-0.88530595982994098</v>
      </c>
      <c r="X166" s="4">
        <f t="shared" si="155"/>
        <v>4.4840547567055333</v>
      </c>
      <c r="Y166" s="4">
        <f t="shared" si="156"/>
        <v>2.3007451403806862</v>
      </c>
      <c r="Z166" s="4">
        <f t="shared" si="157"/>
        <v>-78.220138847350995</v>
      </c>
      <c r="AA166" s="4">
        <f t="shared" si="158"/>
        <v>10.845658761495415</v>
      </c>
      <c r="AB166" s="4">
        <f t="shared" si="159"/>
        <v>-57.577530206090834</v>
      </c>
      <c r="AC166" s="4">
        <f t="shared" si="160"/>
        <v>1.4298402070902332</v>
      </c>
      <c r="AD166" s="4">
        <f t="shared" si="161"/>
        <v>50.181196304776897</v>
      </c>
      <c r="AE166" s="4">
        <f t="shared" si="162"/>
        <v>93.8803845254956</v>
      </c>
      <c r="AF166" s="4">
        <f t="shared" si="163"/>
        <v>434.32822449562093</v>
      </c>
      <c r="AG166" s="4">
        <f t="shared" si="164"/>
        <v>-27.914997518400032</v>
      </c>
      <c r="AH166" s="4">
        <f t="shared" si="165"/>
        <v>116.62573902411221</v>
      </c>
      <c r="AI166" s="4">
        <f t="shared" si="166"/>
        <v>274.30857259370254</v>
      </c>
      <c r="AJ166" s="4">
        <f t="shared" si="167"/>
        <v>-12.420642416666327</v>
      </c>
      <c r="AK166" s="4">
        <f t="shared" si="168"/>
        <v>-808.75944708777615</v>
      </c>
      <c r="AL166" s="4">
        <f t="shared" si="169"/>
        <v>-5856.6334238506288</v>
      </c>
      <c r="AM166" s="4">
        <f t="shared" si="170"/>
        <v>-29.109331808085855</v>
      </c>
      <c r="AN166" s="4">
        <f t="shared" si="171"/>
        <v>241.10765185666426</v>
      </c>
      <c r="AO166" s="4">
        <f t="shared" si="172"/>
        <v>3436.517590200328</v>
      </c>
      <c r="AP166" s="4">
        <f t="shared" si="173"/>
        <v>13274.136388401568</v>
      </c>
      <c r="AQ166" s="4">
        <f t="shared" si="174"/>
        <v>5.2412697702320472E-3</v>
      </c>
      <c r="AR166" s="4">
        <f t="shared" si="175"/>
        <v>-0.13445537102164978</v>
      </c>
      <c r="AS166" s="4">
        <f t="shared" si="176"/>
        <v>3.6843526495299226E-3</v>
      </c>
      <c r="AT166" s="4">
        <f t="shared" si="177"/>
        <v>1.1493219306419142</v>
      </c>
      <c r="AU166" s="4">
        <f t="shared" si="178"/>
        <v>0.55148593694644976</v>
      </c>
      <c r="AV166" s="4">
        <f t="shared" si="179"/>
        <v>-4.6485723526257317E-3</v>
      </c>
      <c r="AW166" s="4">
        <f t="shared" si="180"/>
        <v>-5.8057387673604781</v>
      </c>
      <c r="AX166" s="4">
        <f t="shared" si="181"/>
        <v>-2.2986276414636433</v>
      </c>
      <c r="AY166" s="4">
        <f t="shared" si="182"/>
        <v>5.4014425250669129</v>
      </c>
      <c r="AZ166" s="4">
        <f t="shared" si="183"/>
        <v>39.944103812219502</v>
      </c>
      <c r="BA166" s="4">
        <f t="shared" si="184"/>
        <v>-0.16184824429654898</v>
      </c>
      <c r="BB166" s="4">
        <f t="shared" si="185"/>
        <v>-5.4508077570086009</v>
      </c>
      <c r="BC166" s="4">
        <f t="shared" si="186"/>
        <v>-3.1183867739696076</v>
      </c>
      <c r="BD166" s="4">
        <f t="shared" si="187"/>
        <v>12.306169798218448</v>
      </c>
      <c r="BE166" s="4">
        <f t="shared" si="188"/>
        <v>35.632502782830414</v>
      </c>
      <c r="BF166" s="4">
        <f t="shared" si="189"/>
        <v>-25.791055153515114</v>
      </c>
      <c r="BG166" s="4">
        <f t="shared" si="190"/>
        <v>-2.6936770557500926</v>
      </c>
      <c r="BH166" s="4">
        <f t="shared" si="191"/>
        <v>-46.682870924849681</v>
      </c>
      <c r="BI166" s="4">
        <f t="shared" si="192"/>
        <v>-6.1694987930700353</v>
      </c>
      <c r="BJ166" s="4">
        <f t="shared" si="193"/>
        <v>-166.77932253690855</v>
      </c>
      <c r="BK166" s="4">
        <f t="shared" si="194"/>
        <v>0.15708186837313734</v>
      </c>
      <c r="BL166" s="4">
        <f t="shared" si="195"/>
        <v>6.4399902908980389</v>
      </c>
      <c r="BM166" s="4">
        <f t="shared" si="196"/>
        <v>15.280387849425619</v>
      </c>
      <c r="BN166" s="4">
        <f t="shared" si="197"/>
        <v>-9.731826242685214</v>
      </c>
      <c r="BO166" s="4">
        <f t="shared" si="198"/>
        <v>-102.64888294566218</v>
      </c>
      <c r="BP166" s="4">
        <f t="shared" si="199"/>
        <v>-68.062571316459966</v>
      </c>
      <c r="BQ166" s="4">
        <f t="shared" si="200"/>
        <v>-8.2283552563207625</v>
      </c>
      <c r="BR166" s="4">
        <f t="shared" si="201"/>
        <v>47.953316928137689</v>
      </c>
      <c r="BS166" s="4">
        <f t="shared" si="202"/>
        <v>427.03435145570074</v>
      </c>
      <c r="BT166" s="4">
        <f t="shared" si="203"/>
        <v>1831.669992811713</v>
      </c>
      <c r="BU166" s="4">
        <f t="shared" si="204"/>
        <v>2.0662359512512385</v>
      </c>
      <c r="BV166" s="4">
        <f t="shared" si="205"/>
        <v>34.419079141340539</v>
      </c>
      <c r="BW166" s="4">
        <f t="shared" si="206"/>
        <v>-189.85394548864642</v>
      </c>
      <c r="BX166" s="4">
        <f t="shared" si="207"/>
        <v>-1130.2304973601611</v>
      </c>
      <c r="BY166" s="4">
        <f t="shared" si="208"/>
        <v>-3495.8268691795679</v>
      </c>
      <c r="BZ166" s="6">
        <f t="shared" si="209"/>
        <v>-1.4654650704192136</v>
      </c>
      <c r="CA166" s="7"/>
      <c r="CB166" s="6">
        <v>-1.4654631661501301</v>
      </c>
      <c r="CC166" s="6"/>
    </row>
    <row r="167" spans="1:81" x14ac:dyDescent="0.3">
      <c r="A167" s="4">
        <v>165</v>
      </c>
      <c r="B167" s="4">
        <v>164616046</v>
      </c>
      <c r="C167" s="4">
        <v>2.7189999999999999</v>
      </c>
      <c r="D167" s="4">
        <v>4</v>
      </c>
      <c r="E167" s="4">
        <v>0.443</v>
      </c>
      <c r="F167" s="4">
        <v>3.5920000000000001</v>
      </c>
      <c r="H167" s="6">
        <v>-2618.81325553337</v>
      </c>
      <c r="I167" s="4">
        <f t="shared" si="140"/>
        <v>126.1964089099</v>
      </c>
      <c r="J167" s="4">
        <f t="shared" si="141"/>
        <v>-1968.513044</v>
      </c>
      <c r="K167" s="4">
        <f t="shared" si="142"/>
        <v>1049.3901837999999</v>
      </c>
      <c r="L167" s="4">
        <f t="shared" si="143"/>
        <v>11607.569983040001</v>
      </c>
      <c r="M167" s="4">
        <f t="shared" si="144"/>
        <v>28.565372351688019</v>
      </c>
      <c r="N167" s="4">
        <f t="shared" si="145"/>
        <v>27.513161524519997</v>
      </c>
      <c r="O167" s="4">
        <f t="shared" si="146"/>
        <v>-82.907035197835981</v>
      </c>
      <c r="P167" s="4">
        <f t="shared" si="147"/>
        <v>-374.47749584039195</v>
      </c>
      <c r="Q167" s="4">
        <f t="shared" si="148"/>
        <v>-192.01532</v>
      </c>
      <c r="R167" s="4">
        <f t="shared" si="149"/>
        <v>320.65507039199997</v>
      </c>
      <c r="S167" s="4">
        <f t="shared" si="150"/>
        <v>6079.1635450560007</v>
      </c>
      <c r="T167" s="4">
        <f t="shared" si="151"/>
        <v>-81.457214906773999</v>
      </c>
      <c r="U167" s="4">
        <f t="shared" si="152"/>
        <v>-3271.6466981293602</v>
      </c>
      <c r="V167" s="4">
        <f t="shared" si="153"/>
        <v>-19182.063553132801</v>
      </c>
      <c r="W167" s="4">
        <f t="shared" si="154"/>
        <v>-0.72741106518680898</v>
      </c>
      <c r="X167" s="4">
        <f t="shared" si="155"/>
        <v>3.9238362000611562</v>
      </c>
      <c r="Y167" s="4">
        <f t="shared" si="156"/>
        <v>1.9479773264352815</v>
      </c>
      <c r="Z167" s="4">
        <f t="shared" si="157"/>
        <v>-69.64640298240883</v>
      </c>
      <c r="AA167" s="4">
        <f t="shared" si="158"/>
        <v>10.107630220303999</v>
      </c>
      <c r="AB167" s="4">
        <f t="shared" si="159"/>
        <v>-51.918467292414</v>
      </c>
      <c r="AC167" s="4">
        <f t="shared" si="160"/>
        <v>1.3558793955398656</v>
      </c>
      <c r="AD167" s="4">
        <f t="shared" si="161"/>
        <v>43.780958328725738</v>
      </c>
      <c r="AE167" s="4">
        <f t="shared" si="162"/>
        <v>86.135828938869878</v>
      </c>
      <c r="AF167" s="4">
        <f t="shared" si="163"/>
        <v>419.07500132008931</v>
      </c>
      <c r="AG167" s="4">
        <f t="shared" si="164"/>
        <v>-27.706677504000002</v>
      </c>
      <c r="AH167" s="4">
        <f t="shared" si="165"/>
        <v>111.9996555104</v>
      </c>
      <c r="AI167" s="4">
        <f t="shared" si="166"/>
        <v>277.02973271680003</v>
      </c>
      <c r="AJ167" s="4">
        <f t="shared" si="167"/>
        <v>-11.5409553002848</v>
      </c>
      <c r="AK167" s="4">
        <f t="shared" si="168"/>
        <v>-790.28145622028796</v>
      </c>
      <c r="AL167" s="4">
        <f t="shared" si="169"/>
        <v>-6018.3188252190721</v>
      </c>
      <c r="AM167" s="4">
        <f t="shared" si="170"/>
        <v>-26.170098579234718</v>
      </c>
      <c r="AN167" s="4">
        <f t="shared" si="171"/>
        <v>227.95485181772617</v>
      </c>
      <c r="AO167" s="4">
        <f t="shared" si="172"/>
        <v>3416.8124638168601</v>
      </c>
      <c r="AP167" s="4">
        <f t="shared" si="173"/>
        <v>13879.492024549905</v>
      </c>
      <c r="AQ167" s="4">
        <f t="shared" si="174"/>
        <v>4.0335291565724019E-3</v>
      </c>
      <c r="AR167" s="4">
        <f t="shared" si="175"/>
        <v>-0.11019966884069825</v>
      </c>
      <c r="AS167" s="4">
        <f t="shared" si="176"/>
        <v>2.921721040975401E-3</v>
      </c>
      <c r="AT167" s="4">
        <f t="shared" si="177"/>
        <v>0.95848202862462517</v>
      </c>
      <c r="AU167" s="4">
        <f t="shared" si="178"/>
        <v>0.48138219536234028</v>
      </c>
      <c r="AV167" s="4">
        <f t="shared" si="179"/>
        <v>-3.9260027351093116E-3</v>
      </c>
      <c r="AW167" s="4">
        <f t="shared" si="180"/>
        <v>-5.1564785817211183</v>
      </c>
      <c r="AX167" s="4">
        <f t="shared" si="181"/>
        <v>-1.8783436446394486</v>
      </c>
      <c r="AY167" s="4">
        <f t="shared" si="182"/>
        <v>4.6417410513613522</v>
      </c>
      <c r="AZ167" s="4">
        <f t="shared" si="183"/>
        <v>36.098450121973677</v>
      </c>
      <c r="BA167" s="4">
        <f t="shared" si="184"/>
        <v>-0.1504586014016</v>
      </c>
      <c r="BB167" s="4">
        <f t="shared" si="185"/>
        <v>-4.9028128438738241</v>
      </c>
      <c r="BC167" s="4">
        <f t="shared" si="186"/>
        <v>-2.9497088712270592</v>
      </c>
      <c r="BD167" s="4">
        <f t="shared" si="187"/>
        <v>10.709834876039011</v>
      </c>
      <c r="BE167" s="4">
        <f t="shared" si="188"/>
        <v>32.611511199188712</v>
      </c>
      <c r="BF167" s="4">
        <f t="shared" si="189"/>
        <v>-24.82323800807664</v>
      </c>
      <c r="BG167" s="4">
        <f t="shared" si="190"/>
        <v>-2.2681972568267512</v>
      </c>
      <c r="BH167" s="4">
        <f t="shared" si="191"/>
        <v>-41.338772351414313</v>
      </c>
      <c r="BI167" s="4">
        <f t="shared" si="192"/>
        <v>-5.7453253438102498</v>
      </c>
      <c r="BJ167" s="4">
        <f t="shared" si="193"/>
        <v>-163.33214787007915</v>
      </c>
      <c r="BK167" s="4">
        <f t="shared" si="194"/>
        <v>0.155520818432</v>
      </c>
      <c r="BL167" s="4">
        <f t="shared" si="195"/>
        <v>6.1691184561279995</v>
      </c>
      <c r="BM167" s="4">
        <f t="shared" si="196"/>
        <v>15.393486643302403</v>
      </c>
      <c r="BN167" s="4">
        <f t="shared" si="197"/>
        <v>-9.0200234162630402</v>
      </c>
      <c r="BO167" s="4">
        <f t="shared" si="198"/>
        <v>-100.05349669595137</v>
      </c>
      <c r="BP167" s="4">
        <f t="shared" si="199"/>
        <v>-69.767172161016831</v>
      </c>
      <c r="BQ167" s="4">
        <f t="shared" si="200"/>
        <v>-7.3790724551047076</v>
      </c>
      <c r="BR167" s="4">
        <f t="shared" si="201"/>
        <v>45.224327564848316</v>
      </c>
      <c r="BS167" s="4">
        <f t="shared" si="202"/>
        <v>423.52690251206582</v>
      </c>
      <c r="BT167" s="4">
        <f t="shared" si="203"/>
        <v>1910.4256719609803</v>
      </c>
      <c r="BU167" s="4">
        <f t="shared" si="204"/>
        <v>1.7928504992462073</v>
      </c>
      <c r="BV167" s="4">
        <f t="shared" si="205"/>
        <v>31.407121478048538</v>
      </c>
      <c r="BW167" s="4">
        <f t="shared" si="206"/>
        <v>-182.18526096147727</v>
      </c>
      <c r="BX167" s="4">
        <f t="shared" si="207"/>
        <v>-1140.5789668023199</v>
      </c>
      <c r="BY167" s="4">
        <f t="shared" si="208"/>
        <v>-3709.9920372662655</v>
      </c>
      <c r="BZ167" s="6">
        <f t="shared" si="209"/>
        <v>-1.5666278348453488</v>
      </c>
      <c r="CA167" s="7"/>
      <c r="CB167" s="6">
        <v>-1.5666259092449759</v>
      </c>
      <c r="CC167" s="6"/>
    </row>
    <row r="168" spans="1:81" x14ac:dyDescent="0.3">
      <c r="A168" s="4">
        <v>166</v>
      </c>
      <c r="B168" s="4">
        <v>5280460</v>
      </c>
      <c r="C168" s="4">
        <v>1.6180000000000001</v>
      </c>
      <c r="D168" s="4">
        <v>1.921</v>
      </c>
      <c r="E168" s="4">
        <v>0.67400000000000004</v>
      </c>
      <c r="F168" s="4">
        <v>2.8809999999999998</v>
      </c>
      <c r="H168" s="6">
        <v>-2618.81325553337</v>
      </c>
      <c r="I168" s="4">
        <f t="shared" si="140"/>
        <v>75.095913797800009</v>
      </c>
      <c r="J168" s="4">
        <f t="shared" si="141"/>
        <v>-945.37838938100003</v>
      </c>
      <c r="K168" s="4">
        <f t="shared" si="142"/>
        <v>1596.5891283999999</v>
      </c>
      <c r="L168" s="4">
        <f t="shared" si="143"/>
        <v>9309.9691317199995</v>
      </c>
      <c r="M168" s="4">
        <f t="shared" si="144"/>
        <v>10.115293973337682</v>
      </c>
      <c r="N168" s="4">
        <f t="shared" si="145"/>
        <v>7.8627991321220589</v>
      </c>
      <c r="O168" s="4">
        <f t="shared" si="146"/>
        <v>-75.061435337456004</v>
      </c>
      <c r="P168" s="4">
        <f t="shared" si="147"/>
        <v>-178.731855474382</v>
      </c>
      <c r="Q168" s="4">
        <f t="shared" si="148"/>
        <v>-44.286425405757505</v>
      </c>
      <c r="R168" s="4">
        <f t="shared" si="149"/>
        <v>234.29426354984398</v>
      </c>
      <c r="S168" s="4">
        <f t="shared" si="150"/>
        <v>2341.6292318291671</v>
      </c>
      <c r="T168" s="4">
        <f t="shared" si="151"/>
        <v>-188.55666912437601</v>
      </c>
      <c r="U168" s="4">
        <f t="shared" si="152"/>
        <v>-3992.3581928661406</v>
      </c>
      <c r="V168" s="4">
        <f t="shared" si="153"/>
        <v>-12339.830268329699</v>
      </c>
      <c r="W168" s="4">
        <f t="shared" si="154"/>
        <v>-0.15328082604995827</v>
      </c>
      <c r="X168" s="4">
        <f t="shared" si="155"/>
        <v>0.66729345077572111</v>
      </c>
      <c r="Y168" s="4">
        <f t="shared" si="156"/>
        <v>1.0494909242846187</v>
      </c>
      <c r="Z168" s="4">
        <f t="shared" si="157"/>
        <v>-19.78081772498015</v>
      </c>
      <c r="AA168" s="4">
        <f t="shared" si="158"/>
        <v>1.3872457468053572</v>
      </c>
      <c r="AB168" s="4">
        <f t="shared" si="159"/>
        <v>-22.574322051654011</v>
      </c>
      <c r="AC168" s="4">
        <f t="shared" si="160"/>
        <v>0.31078830979611322</v>
      </c>
      <c r="AD168" s="4">
        <f t="shared" si="161"/>
        <v>60.306887406384476</v>
      </c>
      <c r="AE168" s="4">
        <f t="shared" si="162"/>
        <v>62.548406194498867</v>
      </c>
      <c r="AF168" s="4">
        <f t="shared" si="163"/>
        <v>160.42606287394915</v>
      </c>
      <c r="AG168" s="4">
        <f t="shared" si="164"/>
        <v>-3.068927086428952</v>
      </c>
      <c r="AH168" s="4">
        <f t="shared" si="165"/>
        <v>39.301362272254323</v>
      </c>
      <c r="AI168" s="4">
        <f t="shared" si="166"/>
        <v>51.246954391751665</v>
      </c>
      <c r="AJ168" s="4">
        <f t="shared" si="167"/>
        <v>-12.829846875901247</v>
      </c>
      <c r="AK168" s="4">
        <f t="shared" si="168"/>
        <v>-463.13997254207521</v>
      </c>
      <c r="AL168" s="4">
        <f t="shared" si="169"/>
        <v>-1859.3297798894271</v>
      </c>
      <c r="AM168" s="4">
        <f t="shared" si="170"/>
        <v>-92.166664244676525</v>
      </c>
      <c r="AN168" s="4">
        <f t="shared" si="171"/>
        <v>423.22187909803847</v>
      </c>
      <c r="AO168" s="4">
        <f t="shared" si="172"/>
        <v>3344.1917682221274</v>
      </c>
      <c r="AP168" s="4">
        <f t="shared" si="173"/>
        <v>7161.3411418137866</v>
      </c>
      <c r="AQ168" s="4">
        <f t="shared" si="174"/>
        <v>5.0578091686106618E-4</v>
      </c>
      <c r="AR168" s="4">
        <f t="shared" si="175"/>
        <v>-1.1152072702859738E-2</v>
      </c>
      <c r="AS168" s="4">
        <f t="shared" si="176"/>
        <v>9.3670501963895889E-4</v>
      </c>
      <c r="AT168" s="4">
        <f t="shared" si="177"/>
        <v>0.16199396435193819</v>
      </c>
      <c r="AU168" s="4">
        <f t="shared" si="178"/>
        <v>3.9315462559605469E-2</v>
      </c>
      <c r="AV168" s="4">
        <f t="shared" si="179"/>
        <v>-1.0158106483218222E-3</v>
      </c>
      <c r="AW168" s="4">
        <f t="shared" si="180"/>
        <v>-0.70334133492067841</v>
      </c>
      <c r="AX168" s="4">
        <f t="shared" si="181"/>
        <v>-1.5396641929454125</v>
      </c>
      <c r="AY168" s="4">
        <f t="shared" si="182"/>
        <v>2.0057769159309116</v>
      </c>
      <c r="AZ168" s="4">
        <f t="shared" si="183"/>
        <v>8.223203462692469</v>
      </c>
      <c r="BA168" s="4">
        <f t="shared" si="184"/>
        <v>-9.9171858204102729E-3</v>
      </c>
      <c r="BB168" s="4">
        <f t="shared" si="185"/>
        <v>-1.023777409414306</v>
      </c>
      <c r="BC168" s="4">
        <f t="shared" si="186"/>
        <v>-0.3247058711540981</v>
      </c>
      <c r="BD168" s="4">
        <f t="shared" si="187"/>
        <v>7.0848685804784353</v>
      </c>
      <c r="BE168" s="4">
        <f t="shared" si="188"/>
        <v>11.372886580996253</v>
      </c>
      <c r="BF168" s="4">
        <f t="shared" si="189"/>
        <v>-4.5636147502045104</v>
      </c>
      <c r="BG168" s="4">
        <f t="shared" si="190"/>
        <v>-4.7535562949097807</v>
      </c>
      <c r="BH168" s="4">
        <f t="shared" si="191"/>
        <v>-45.671592568653111</v>
      </c>
      <c r="BI168" s="4">
        <f t="shared" si="192"/>
        <v>-3.3462159681386852</v>
      </c>
      <c r="BJ168" s="4">
        <f t="shared" si="193"/>
        <v>-50.148941848032571</v>
      </c>
      <c r="BK168" s="4">
        <f t="shared" si="194"/>
        <v>8.2729048089922146E-3</v>
      </c>
      <c r="BL168" s="4">
        <f t="shared" si="195"/>
        <v>1.039636217135486</v>
      </c>
      <c r="BM168" s="4">
        <f t="shared" si="196"/>
        <v>1.3675589310305862</v>
      </c>
      <c r="BN168" s="4">
        <f t="shared" si="197"/>
        <v>-4.815648200052876</v>
      </c>
      <c r="BO168" s="4">
        <f t="shared" si="198"/>
        <v>-28.159835841100126</v>
      </c>
      <c r="BP168" s="4">
        <f t="shared" si="199"/>
        <v>-10.351415181899952</v>
      </c>
      <c r="BQ168" s="4">
        <f t="shared" si="200"/>
        <v>-12.480663073152078</v>
      </c>
      <c r="BR168" s="4">
        <f t="shared" si="201"/>
        <v>40.323550284354198</v>
      </c>
      <c r="BS168" s="4">
        <f t="shared" si="202"/>
        <v>199.07577102318038</v>
      </c>
      <c r="BT168" s="4">
        <f t="shared" si="203"/>
        <v>473.38916100855636</v>
      </c>
      <c r="BU168" s="4">
        <f t="shared" si="204"/>
        <v>9.6065789820372736</v>
      </c>
      <c r="BV168" s="4">
        <f t="shared" si="205"/>
        <v>88.716331600111502</v>
      </c>
      <c r="BW168" s="4">
        <f t="shared" si="206"/>
        <v>-271.29353231637606</v>
      </c>
      <c r="BX168" s="4">
        <f t="shared" si="207"/>
        <v>-895.36954808215194</v>
      </c>
      <c r="BY168" s="4">
        <f t="shared" si="208"/>
        <v>-1535.3263326085114</v>
      </c>
      <c r="BZ168" s="6">
        <f t="shared" si="209"/>
        <v>-1.9831817932802096</v>
      </c>
      <c r="CA168" s="7"/>
      <c r="CB168" s="6">
        <v>-1.9831782199789809</v>
      </c>
      <c r="CC168" s="6"/>
    </row>
    <row r="169" spans="1:81" x14ac:dyDescent="0.3">
      <c r="A169" s="4">
        <v>167</v>
      </c>
      <c r="B169" s="4">
        <v>8417</v>
      </c>
      <c r="C169" s="4">
        <v>1.829</v>
      </c>
      <c r="D169" s="4">
        <v>2.125</v>
      </c>
      <c r="E169" s="4">
        <v>0.54400000000000004</v>
      </c>
      <c r="F169" s="4">
        <v>2.89</v>
      </c>
      <c r="H169" s="6">
        <v>-2618.81325553337</v>
      </c>
      <c r="I169" s="4">
        <f t="shared" si="140"/>
        <v>84.889015040900006</v>
      </c>
      <c r="J169" s="4">
        <f t="shared" si="141"/>
        <v>-1045.7725546250001</v>
      </c>
      <c r="K169" s="4">
        <f t="shared" si="142"/>
        <v>1288.6416704000001</v>
      </c>
      <c r="L169" s="4">
        <f t="shared" si="143"/>
        <v>9339.0526867999997</v>
      </c>
      <c r="M169" s="4">
        <f t="shared" si="144"/>
        <v>12.92554563335762</v>
      </c>
      <c r="N169" s="4">
        <f t="shared" si="145"/>
        <v>9.8320468380137491</v>
      </c>
      <c r="O169" s="4">
        <f t="shared" si="146"/>
        <v>-68.484305537408005</v>
      </c>
      <c r="P169" s="4">
        <f t="shared" si="147"/>
        <v>-202.67105892298997</v>
      </c>
      <c r="Q169" s="4">
        <f t="shared" si="148"/>
        <v>-54.191823710937499</v>
      </c>
      <c r="R169" s="4">
        <f t="shared" si="149"/>
        <v>209.18581341599997</v>
      </c>
      <c r="S169" s="4">
        <f t="shared" si="150"/>
        <v>2598.3896938387502</v>
      </c>
      <c r="T169" s="4">
        <f t="shared" si="151"/>
        <v>-122.834370369536</v>
      </c>
      <c r="U169" s="4">
        <f t="shared" si="152"/>
        <v>-3232.3850297696004</v>
      </c>
      <c r="V169" s="4">
        <f t="shared" si="153"/>
        <v>-12417.04786017</v>
      </c>
      <c r="W169" s="4">
        <f t="shared" si="154"/>
        <v>-0.22140804480539825</v>
      </c>
      <c r="X169" s="4">
        <f t="shared" si="155"/>
        <v>0.94323261289264415</v>
      </c>
      <c r="Y169" s="4">
        <f t="shared" si="156"/>
        <v>1.0824007059402341</v>
      </c>
      <c r="Z169" s="4">
        <f t="shared" si="157"/>
        <v>-25.355326185549444</v>
      </c>
      <c r="AA169" s="4">
        <f t="shared" si="158"/>
        <v>1.9188972887114217</v>
      </c>
      <c r="AB169" s="4">
        <f t="shared" si="159"/>
        <v>-22.783501901501999</v>
      </c>
      <c r="AC169" s="4">
        <f t="shared" si="160"/>
        <v>0.38983965747369204</v>
      </c>
      <c r="AD169" s="4">
        <f t="shared" si="161"/>
        <v>44.409932033997002</v>
      </c>
      <c r="AE169" s="4">
        <f t="shared" si="162"/>
        <v>57.245983846607722</v>
      </c>
      <c r="AF169" s="4">
        <f t="shared" si="163"/>
        <v>182.48168499495861</v>
      </c>
      <c r="AG169" s="4">
        <f t="shared" si="164"/>
        <v>-4.1541414360703124</v>
      </c>
      <c r="AH169" s="4">
        <f t="shared" si="165"/>
        <v>38.815907697699998</v>
      </c>
      <c r="AI169" s="4">
        <f t="shared" si="166"/>
        <v>62.905089397445316</v>
      </c>
      <c r="AJ169" s="4">
        <f t="shared" si="167"/>
        <v>-9.2455137528832001</v>
      </c>
      <c r="AK169" s="4">
        <f t="shared" si="168"/>
        <v>-414.79873449007999</v>
      </c>
      <c r="AL169" s="4">
        <f t="shared" si="169"/>
        <v>-2069.6512193860503</v>
      </c>
      <c r="AM169" s="4">
        <f t="shared" si="170"/>
        <v>-48.460833444462601</v>
      </c>
      <c r="AN169" s="4">
        <f t="shared" si="171"/>
        <v>276.56721850256383</v>
      </c>
      <c r="AO169" s="4">
        <f t="shared" si="172"/>
        <v>2716.0599124312453</v>
      </c>
      <c r="AP169" s="4">
        <f t="shared" si="173"/>
        <v>7228.6652890659934</v>
      </c>
      <c r="AQ169" s="4">
        <f t="shared" si="174"/>
        <v>8.2585383940285883E-4</v>
      </c>
      <c r="AR169" s="4">
        <f t="shared" si="175"/>
        <v>-1.7819385614911948E-2</v>
      </c>
      <c r="AS169" s="4">
        <f t="shared" si="176"/>
        <v>1.0920623014814411E-3</v>
      </c>
      <c r="AT169" s="4">
        <f t="shared" si="177"/>
        <v>0.2347248027480241</v>
      </c>
      <c r="AU169" s="4">
        <f t="shared" si="178"/>
        <v>6.1474768944843376E-2</v>
      </c>
      <c r="AV169" s="4">
        <f t="shared" si="179"/>
        <v>-1.1589206735066085E-3</v>
      </c>
      <c r="AW169" s="4">
        <f t="shared" si="180"/>
        <v>-0.99729277274338601</v>
      </c>
      <c r="AX169" s="4">
        <f t="shared" si="181"/>
        <v>-1.2816646099283882</v>
      </c>
      <c r="AY169" s="4">
        <f t="shared" si="182"/>
        <v>2.0751361343717298</v>
      </c>
      <c r="AZ169" s="4">
        <f t="shared" si="183"/>
        <v>10.573544107378913</v>
      </c>
      <c r="BA169" s="4">
        <f t="shared" si="184"/>
        <v>-1.5174638280688867E-2</v>
      </c>
      <c r="BB169" s="4">
        <f t="shared" si="185"/>
        <v>-1.1429911628756171</v>
      </c>
      <c r="BC169" s="4">
        <f t="shared" si="186"/>
        <v>-0.45055006128335851</v>
      </c>
      <c r="BD169" s="4">
        <f t="shared" si="187"/>
        <v>5.7713387071111155</v>
      </c>
      <c r="BE169" s="4">
        <f t="shared" si="188"/>
        <v>11.514128008436435</v>
      </c>
      <c r="BF169" s="4">
        <f t="shared" si="189"/>
        <v>-5.7422870933074117</v>
      </c>
      <c r="BG169" s="4">
        <f t="shared" si="190"/>
        <v>-2.8253407878322325</v>
      </c>
      <c r="BH169" s="4">
        <f t="shared" si="191"/>
        <v>-33.737580570213346</v>
      </c>
      <c r="BI169" s="4">
        <f t="shared" si="192"/>
        <v>-3.072114001350855</v>
      </c>
      <c r="BJ169" s="4">
        <f t="shared" si="193"/>
        <v>-57.221694633246265</v>
      </c>
      <c r="BK169" s="4">
        <f t="shared" si="194"/>
        <v>1.2387518192538329E-2</v>
      </c>
      <c r="BL169" s="4">
        <f t="shared" si="195"/>
        <v>1.1358346469699376</v>
      </c>
      <c r="BM169" s="4">
        <f t="shared" si="196"/>
        <v>1.856929189847629</v>
      </c>
      <c r="BN169" s="4">
        <f t="shared" si="197"/>
        <v>-3.8388036410361606</v>
      </c>
      <c r="BO169" s="4">
        <f t="shared" si="198"/>
        <v>-27.898884917445599</v>
      </c>
      <c r="BP169" s="4">
        <f t="shared" si="199"/>
        <v>-12.745944876814557</v>
      </c>
      <c r="BQ169" s="4">
        <f t="shared" si="200"/>
        <v>-7.2591578160746515</v>
      </c>
      <c r="BR169" s="4">
        <f t="shared" si="201"/>
        <v>29.148950510359811</v>
      </c>
      <c r="BS169" s="4">
        <f t="shared" si="202"/>
        <v>178.85379023600305</v>
      </c>
      <c r="BT169" s="4">
        <f t="shared" si="203"/>
        <v>528.58353714177258</v>
      </c>
      <c r="BU169" s="4">
        <f t="shared" si="204"/>
        <v>4.0768503536972478</v>
      </c>
      <c r="BV169" s="4">
        <f t="shared" si="205"/>
        <v>46.792383688454976</v>
      </c>
      <c r="BW169" s="4">
        <f t="shared" si="206"/>
        <v>-177.83883942980216</v>
      </c>
      <c r="BX169" s="4">
        <f t="shared" si="207"/>
        <v>-729.46603671916671</v>
      </c>
      <c r="BY169" s="4">
        <f t="shared" si="208"/>
        <v>-1554.6013357924778</v>
      </c>
      <c r="BZ169" s="6">
        <f t="shared" si="209"/>
        <v>-1.9308211774298343</v>
      </c>
      <c r="CA169" s="7"/>
      <c r="CB169" s="6">
        <v>-1.9308175239857519</v>
      </c>
      <c r="CC169" s="6"/>
    </row>
    <row r="170" spans="1:81" x14ac:dyDescent="0.3">
      <c r="A170" s="4">
        <v>168</v>
      </c>
      <c r="B170" s="4">
        <v>25230434</v>
      </c>
      <c r="C170" s="4">
        <v>5.1630000000000003</v>
      </c>
      <c r="D170" s="4">
        <v>5.5090000000000003</v>
      </c>
      <c r="E170" s="4">
        <v>0.48599999999999999</v>
      </c>
      <c r="F170" s="4">
        <v>3.6070000000000002</v>
      </c>
      <c r="H170" s="6">
        <v>-2618.81325553337</v>
      </c>
      <c r="I170" s="4">
        <f t="shared" si="140"/>
        <v>239.62929724230003</v>
      </c>
      <c r="J170" s="4">
        <f t="shared" si="141"/>
        <v>-2711.1345898490003</v>
      </c>
      <c r="K170" s="4">
        <f t="shared" si="142"/>
        <v>1151.2497275999999</v>
      </c>
      <c r="L170" s="4">
        <f t="shared" si="143"/>
        <v>11656.042574840001</v>
      </c>
      <c r="M170" s="4">
        <f t="shared" si="144"/>
        <v>102.99727255472659</v>
      </c>
      <c r="N170" s="4">
        <f t="shared" si="145"/>
        <v>71.952551058072089</v>
      </c>
      <c r="O170" s="4">
        <f t="shared" si="146"/>
        <v>-172.70974593554399</v>
      </c>
      <c r="P170" s="4">
        <f t="shared" si="147"/>
        <v>-714.04972421073899</v>
      </c>
      <c r="Q170" s="4">
        <f t="shared" si="148"/>
        <v>-364.21803124505755</v>
      </c>
      <c r="R170" s="4">
        <f t="shared" si="149"/>
        <v>484.48845848516402</v>
      </c>
      <c r="S170" s="4">
        <f t="shared" si="150"/>
        <v>8407.4912217954225</v>
      </c>
      <c r="T170" s="4">
        <f t="shared" si="151"/>
        <v>-98.03804519829599</v>
      </c>
      <c r="U170" s="4">
        <f t="shared" si="152"/>
        <v>-3604.1989504606204</v>
      </c>
      <c r="V170" s="4">
        <f t="shared" si="153"/>
        <v>-19342.604604267301</v>
      </c>
      <c r="W170" s="4">
        <f t="shared" si="154"/>
        <v>-4.9803361370900463</v>
      </c>
      <c r="X170" s="4">
        <f t="shared" si="155"/>
        <v>19.485407178451865</v>
      </c>
      <c r="Y170" s="4">
        <f t="shared" si="156"/>
        <v>7.7055257402818089</v>
      </c>
      <c r="Z170" s="4">
        <f t="shared" si="157"/>
        <v>-252.17053546790493</v>
      </c>
      <c r="AA170" s="4">
        <f t="shared" si="158"/>
        <v>36.40556912833167</v>
      </c>
      <c r="AB170" s="4">
        <f t="shared" si="159"/>
        <v>-148.95672132853116</v>
      </c>
      <c r="AC170" s="4">
        <f t="shared" si="160"/>
        <v>3.5607097512441457</v>
      </c>
      <c r="AD170" s="4">
        <f t="shared" si="161"/>
        <v>100.05603003811406</v>
      </c>
      <c r="AE170" s="4">
        <f t="shared" si="162"/>
        <v>180.18519843551849</v>
      </c>
      <c r="AF170" s="4">
        <f t="shared" si="163"/>
        <v>802.42472331158649</v>
      </c>
      <c r="AG170" s="4">
        <f t="shared" si="164"/>
        <v>-72.380702324250706</v>
      </c>
      <c r="AH170" s="4">
        <f t="shared" si="165"/>
        <v>233.06378328016535</v>
      </c>
      <c r="AI170" s="4">
        <f t="shared" si="166"/>
        <v>527.66921728934551</v>
      </c>
      <c r="AJ170" s="4">
        <f t="shared" si="167"/>
        <v>-19.130205092620002</v>
      </c>
      <c r="AK170" s="4">
        <f t="shared" si="168"/>
        <v>-1199.0489962023364</v>
      </c>
      <c r="AL170" s="4">
        <f t="shared" si="169"/>
        <v>-8358.1007288251476</v>
      </c>
      <c r="AM170" s="4">
        <f t="shared" si="170"/>
        <v>-34.554370670620123</v>
      </c>
      <c r="AN170" s="4">
        <f t="shared" si="171"/>
        <v>275.5013559047178</v>
      </c>
      <c r="AO170" s="4">
        <f t="shared" si="172"/>
        <v>3779.8391097247718</v>
      </c>
      <c r="AP170" s="4">
        <f t="shared" si="173"/>
        <v>14054.099199502583</v>
      </c>
      <c r="AQ170" s="4">
        <f t="shared" si="174"/>
        <v>5.2439298151172944E-2</v>
      </c>
      <c r="AR170" s="4">
        <f t="shared" si="175"/>
        <v>-1.0391346409424964</v>
      </c>
      <c r="AS170" s="4">
        <f t="shared" si="176"/>
        <v>2.1945730598620133E-2</v>
      </c>
      <c r="AT170" s="4">
        <f t="shared" si="177"/>
        <v>6.5898046591998813</v>
      </c>
      <c r="AU170" s="4">
        <f t="shared" si="178"/>
        <v>3.2923152997548621</v>
      </c>
      <c r="AV170" s="4">
        <f t="shared" si="179"/>
        <v>-2.1388570364685899E-2</v>
      </c>
      <c r="AW170" s="4">
        <f t="shared" si="180"/>
        <v>-25.713526861691417</v>
      </c>
      <c r="AX170" s="4">
        <f t="shared" si="181"/>
        <v>-8.151282987297817</v>
      </c>
      <c r="AY170" s="4">
        <f t="shared" si="182"/>
        <v>18.437800057559684</v>
      </c>
      <c r="AZ170" s="4">
        <f t="shared" si="183"/>
        <v>131.24840053075428</v>
      </c>
      <c r="BA170" s="4">
        <f t="shared" si="184"/>
        <v>-0.74635987120505776</v>
      </c>
      <c r="BB170" s="4">
        <f t="shared" si="185"/>
        <v>-19.372975879125015</v>
      </c>
      <c r="BC170" s="4">
        <f t="shared" si="186"/>
        <v>-10.668600389663359</v>
      </c>
      <c r="BD170" s="4">
        <f t="shared" si="187"/>
        <v>33.709596921376175</v>
      </c>
      <c r="BE170" s="4">
        <f t="shared" si="188"/>
        <v>93.954801663945148</v>
      </c>
      <c r="BF170" s="4">
        <f t="shared" si="189"/>
        <v>-65.461169283637574</v>
      </c>
      <c r="BG170" s="4">
        <f t="shared" si="190"/>
        <v>-5.6868446872026315</v>
      </c>
      <c r="BH170" s="4">
        <f t="shared" si="191"/>
        <v>-94.869233781887957</v>
      </c>
      <c r="BI170" s="4">
        <f t="shared" si="192"/>
        <v>-12.068678436680843</v>
      </c>
      <c r="BJ170" s="4">
        <f t="shared" si="193"/>
        <v>-314.04655497301201</v>
      </c>
      <c r="BK170" s="4">
        <f t="shared" si="194"/>
        <v>0.55955097555861699</v>
      </c>
      <c r="BL170" s="4">
        <f t="shared" si="195"/>
        <v>17.680477731322696</v>
      </c>
      <c r="BM170" s="4">
        <f t="shared" si="196"/>
        <v>40.381751941333889</v>
      </c>
      <c r="BN170" s="4">
        <f t="shared" si="197"/>
        <v>-20.591989739163743</v>
      </c>
      <c r="BO170" s="4">
        <f t="shared" si="198"/>
        <v>-209.0740781306435</v>
      </c>
      <c r="BP170" s="4">
        <f t="shared" si="199"/>
        <v>-133.44315794179875</v>
      </c>
      <c r="BQ170" s="4">
        <f t="shared" si="200"/>
        <v>-13.418753803078225</v>
      </c>
      <c r="BR170" s="4">
        <f t="shared" si="201"/>
        <v>75.276566090520461</v>
      </c>
      <c r="BS170" s="4">
        <f t="shared" si="202"/>
        <v>645.27665705171842</v>
      </c>
      <c r="BT170" s="4">
        <f t="shared" si="203"/>
        <v>2664.2340194101553</v>
      </c>
      <c r="BU170" s="4">
        <f t="shared" si="204"/>
        <v>2.5970137476628627</v>
      </c>
      <c r="BV170" s="4">
        <f t="shared" si="205"/>
        <v>41.642383340433739</v>
      </c>
      <c r="BW170" s="4">
        <f t="shared" si="206"/>
        <v>-221.10468947707483</v>
      </c>
      <c r="BX170" s="4">
        <f t="shared" si="207"/>
        <v>-1267.0313029686104</v>
      </c>
      <c r="BY170" s="4">
        <f t="shared" si="208"/>
        <v>-3772.3522136739903</v>
      </c>
      <c r="BZ170" s="6">
        <f t="shared" si="209"/>
        <v>-1.1490215346557306</v>
      </c>
      <c r="CA170" s="7"/>
      <c r="CB170" s="6">
        <v>-1.149022855404382</v>
      </c>
      <c r="CC170" s="6"/>
    </row>
    <row r="171" spans="1:81" x14ac:dyDescent="0.3">
      <c r="A171" s="4">
        <v>169</v>
      </c>
      <c r="B171" s="4">
        <v>5282149</v>
      </c>
      <c r="C171" s="4">
        <v>4.1379999999999999</v>
      </c>
      <c r="D171" s="4">
        <v>5.13</v>
      </c>
      <c r="E171" s="4">
        <v>0.52100000000000002</v>
      </c>
      <c r="F171" s="4">
        <v>3.5870000000000002</v>
      </c>
      <c r="H171" s="6">
        <v>-2618.81325553337</v>
      </c>
      <c r="I171" s="4">
        <f t="shared" si="140"/>
        <v>192.05617508980001</v>
      </c>
      <c r="J171" s="4">
        <f t="shared" si="141"/>
        <v>-2524.6179789299999</v>
      </c>
      <c r="K171" s="4">
        <f t="shared" si="142"/>
        <v>1234.1586586000001</v>
      </c>
      <c r="L171" s="4">
        <f t="shared" si="143"/>
        <v>11591.412452440001</v>
      </c>
      <c r="M171" s="4">
        <f t="shared" si="144"/>
        <v>66.161058830736081</v>
      </c>
      <c r="N171" s="4">
        <f t="shared" si="145"/>
        <v>53.700601512763797</v>
      </c>
      <c r="O171" s="4">
        <f t="shared" si="146"/>
        <v>-148.390692176984</v>
      </c>
      <c r="P171" s="4">
        <f t="shared" si="147"/>
        <v>-569.11764585187393</v>
      </c>
      <c r="Q171" s="4">
        <f t="shared" si="148"/>
        <v>-315.82799843175002</v>
      </c>
      <c r="R171" s="4">
        <f t="shared" si="149"/>
        <v>483.64809609977993</v>
      </c>
      <c r="S171" s="4">
        <f t="shared" si="150"/>
        <v>7785.6746195207706</v>
      </c>
      <c r="T171" s="4">
        <f t="shared" si="151"/>
        <v>-112.66721293616601</v>
      </c>
      <c r="U171" s="4">
        <f t="shared" si="152"/>
        <v>-3842.3369237413704</v>
      </c>
      <c r="V171" s="4">
        <f t="shared" si="153"/>
        <v>-19128.6985391913</v>
      </c>
      <c r="W171" s="4">
        <f t="shared" si="154"/>
        <v>-2.5640337613985622</v>
      </c>
      <c r="X171" s="4">
        <f t="shared" si="155"/>
        <v>11.655497103918075</v>
      </c>
      <c r="Y171" s="4">
        <f t="shared" si="156"/>
        <v>5.3061613530550282</v>
      </c>
      <c r="Z171" s="4">
        <f t="shared" si="157"/>
        <v>-161.08544365828024</v>
      </c>
      <c r="AA171" s="4">
        <f t="shared" si="158"/>
        <v>25.301447708616319</v>
      </c>
      <c r="AB171" s="4">
        <f t="shared" si="159"/>
        <v>-119.17756631241926</v>
      </c>
      <c r="AC171" s="4">
        <f t="shared" si="160"/>
        <v>2.6427419723941803</v>
      </c>
      <c r="AD171" s="4">
        <f t="shared" si="161"/>
        <v>92.158317325234407</v>
      </c>
      <c r="AE171" s="4">
        <f t="shared" si="162"/>
        <v>153.95512903591791</v>
      </c>
      <c r="AF171" s="4">
        <f t="shared" si="163"/>
        <v>636.00880943733068</v>
      </c>
      <c r="AG171" s="4">
        <f t="shared" si="164"/>
        <v>-58.446239187214694</v>
      </c>
      <c r="AH171" s="4">
        <f t="shared" si="165"/>
        <v>216.65336138077842</v>
      </c>
      <c r="AI171" s="4">
        <f t="shared" si="166"/>
        <v>455.02596487884472</v>
      </c>
      <c r="AJ171" s="4">
        <f t="shared" si="167"/>
        <v>-20.472323090206107</v>
      </c>
      <c r="AK171" s="4">
        <f t="shared" si="168"/>
        <v>-1190.3322794865901</v>
      </c>
      <c r="AL171" s="4">
        <f t="shared" si="169"/>
        <v>-7697.0208368558351</v>
      </c>
      <c r="AM171" s="4">
        <f t="shared" si="170"/>
        <v>-42.570362642562074</v>
      </c>
      <c r="AN171" s="4">
        <f t="shared" si="171"/>
        <v>314.8559342211509</v>
      </c>
      <c r="AO171" s="4">
        <f t="shared" si="172"/>
        <v>4007.2389229635737</v>
      </c>
      <c r="AP171" s="4">
        <f t="shared" si="173"/>
        <v>13821.612649619581</v>
      </c>
      <c r="AQ171" s="4">
        <f t="shared" si="174"/>
        <v>2.1637661160206621E-2</v>
      </c>
      <c r="AR171" s="4">
        <f t="shared" si="175"/>
        <v>-0.49817450670843427</v>
      </c>
      <c r="AS171" s="4">
        <f t="shared" si="176"/>
        <v>1.2112020060881853E-2</v>
      </c>
      <c r="AT171" s="4">
        <f t="shared" si="177"/>
        <v>3.3738273867107167</v>
      </c>
      <c r="AU171" s="4">
        <f t="shared" si="178"/>
        <v>1.8338648578831382</v>
      </c>
      <c r="AV171" s="4">
        <f t="shared" si="179"/>
        <v>-1.3715275197625694E-2</v>
      </c>
      <c r="AW171" s="4">
        <f t="shared" si="180"/>
        <v>-15.295659183352688</v>
      </c>
      <c r="AX171" s="4">
        <f t="shared" si="181"/>
        <v>-6.0173545497562442</v>
      </c>
      <c r="AY171" s="4">
        <f t="shared" si="182"/>
        <v>12.626195574009779</v>
      </c>
      <c r="AZ171" s="4">
        <f t="shared" si="183"/>
        <v>83.376029757519731</v>
      </c>
      <c r="BA171" s="4">
        <f t="shared" si="184"/>
        <v>-0.48302590244592764</v>
      </c>
      <c r="BB171" s="4">
        <f t="shared" si="185"/>
        <v>-14.433622368774655</v>
      </c>
      <c r="BC171" s="4">
        <f t="shared" si="186"/>
        <v>-7.3734413363876188</v>
      </c>
      <c r="BD171" s="4">
        <f t="shared" si="187"/>
        <v>28.912751372113409</v>
      </c>
      <c r="BE171" s="4">
        <f t="shared" si="188"/>
        <v>74.754720581578539</v>
      </c>
      <c r="BF171" s="4">
        <f t="shared" si="189"/>
        <v>-48.315578208616962</v>
      </c>
      <c r="BG171" s="4">
        <f t="shared" si="190"/>
        <v>-5.6151852789674672</v>
      </c>
      <c r="BH171" s="4">
        <f t="shared" si="191"/>
        <v>-86.896422431518104</v>
      </c>
      <c r="BI171" s="4">
        <f t="shared" si="192"/>
        <v>-10.254630114470485</v>
      </c>
      <c r="BJ171" s="4">
        <f t="shared" si="193"/>
        <v>-247.53584566105877</v>
      </c>
      <c r="BK171" s="4">
        <f t="shared" si="194"/>
        <v>0.42074409373385924</v>
      </c>
      <c r="BL171" s="4">
        <f t="shared" si="195"/>
        <v>15.304855297704213</v>
      </c>
      <c r="BM171" s="4">
        <f t="shared" si="196"/>
        <v>32.426805695056821</v>
      </c>
      <c r="BN171" s="4">
        <f t="shared" si="197"/>
        <v>-20.520616621899055</v>
      </c>
      <c r="BO171" s="4">
        <f t="shared" si="198"/>
        <v>-193.27517020601351</v>
      </c>
      <c r="BP171" s="4">
        <f t="shared" si="199"/>
        <v>-114.4342335618842</v>
      </c>
      <c r="BQ171" s="4">
        <f t="shared" si="200"/>
        <v>-15.394342323243617</v>
      </c>
      <c r="BR171" s="4">
        <f t="shared" si="201"/>
        <v>80.111070426810784</v>
      </c>
      <c r="BS171" s="4">
        <f t="shared" si="202"/>
        <v>637.03379166029663</v>
      </c>
      <c r="BT171" s="4">
        <f t="shared" si="203"/>
        <v>2439.9035858347188</v>
      </c>
      <c r="BU171" s="4">
        <f t="shared" si="204"/>
        <v>3.4298889952346689</v>
      </c>
      <c r="BV171" s="4">
        <f t="shared" si="205"/>
        <v>51.018204963513575</v>
      </c>
      <c r="BW171" s="4">
        <f t="shared" si="206"/>
        <v>-251.28775741663873</v>
      </c>
      <c r="BX171" s="4">
        <f t="shared" si="207"/>
        <v>-1335.8094198701185</v>
      </c>
      <c r="BY171" s="4">
        <f t="shared" si="208"/>
        <v>-3689.3781572045832</v>
      </c>
      <c r="BZ171" s="6">
        <f t="shared" si="209"/>
        <v>-1.1849985366047804</v>
      </c>
      <c r="CA171" s="7"/>
      <c r="CB171" s="6">
        <v>-1.184999024225363</v>
      </c>
      <c r="CC171" s="6"/>
    </row>
    <row r="172" spans="1:81" x14ac:dyDescent="0.3">
      <c r="A172" s="4">
        <v>170</v>
      </c>
      <c r="B172" s="4">
        <v>5280863</v>
      </c>
      <c r="C172" s="4">
        <v>2.2730000000000001</v>
      </c>
      <c r="D172" s="4">
        <v>3.0649999999999999</v>
      </c>
      <c r="E172" s="4">
        <v>0.54900000000000004</v>
      </c>
      <c r="F172" s="4">
        <v>3.5619999999999998</v>
      </c>
      <c r="H172" s="6">
        <v>-2618.81325553337</v>
      </c>
      <c r="I172" s="4">
        <f t="shared" si="140"/>
        <v>105.4962991733</v>
      </c>
      <c r="J172" s="4">
        <f t="shared" si="141"/>
        <v>-1508.3731199650001</v>
      </c>
      <c r="K172" s="4">
        <f t="shared" si="142"/>
        <v>1300.4858034000001</v>
      </c>
      <c r="L172" s="4">
        <f t="shared" si="143"/>
        <v>11510.62479944</v>
      </c>
      <c r="M172" s="4">
        <f t="shared" si="144"/>
        <v>19.962748978493785</v>
      </c>
      <c r="N172" s="4">
        <f t="shared" si="145"/>
        <v>17.623867275206148</v>
      </c>
      <c r="O172" s="4">
        <f t="shared" si="146"/>
        <v>-85.891508680716015</v>
      </c>
      <c r="P172" s="4">
        <f t="shared" si="147"/>
        <v>-310.43704388005398</v>
      </c>
      <c r="Q172" s="4">
        <f t="shared" si="148"/>
        <v>-112.73969497043751</v>
      </c>
      <c r="R172" s="4">
        <f t="shared" si="149"/>
        <v>304.49293291341002</v>
      </c>
      <c r="S172" s="4">
        <f t="shared" si="150"/>
        <v>4619.2546198535092</v>
      </c>
      <c r="T172" s="4">
        <f t="shared" si="151"/>
        <v>-125.10273188712601</v>
      </c>
      <c r="U172" s="4">
        <f t="shared" si="152"/>
        <v>-4020.6160672867804</v>
      </c>
      <c r="V172" s="4">
        <f t="shared" si="153"/>
        <v>-18862.988492758795</v>
      </c>
      <c r="W172" s="4">
        <f t="shared" si="154"/>
        <v>-0.42496247974196871</v>
      </c>
      <c r="X172" s="4">
        <f t="shared" si="155"/>
        <v>2.1011730088703153</v>
      </c>
      <c r="Y172" s="4">
        <f t="shared" si="156"/>
        <v>1.6870694924809737</v>
      </c>
      <c r="Z172" s="4">
        <f t="shared" si="157"/>
        <v>-48.26549169122476</v>
      </c>
      <c r="AA172" s="4">
        <f t="shared" si="158"/>
        <v>4.9611293271170522</v>
      </c>
      <c r="AB172" s="4">
        <f t="shared" si="159"/>
        <v>-41.214610214505434</v>
      </c>
      <c r="AC172" s="4">
        <f t="shared" si="160"/>
        <v>0.86127008698760099</v>
      </c>
      <c r="AD172" s="4">
        <f t="shared" si="161"/>
        <v>56.209889077350823</v>
      </c>
      <c r="AE172" s="4">
        <f t="shared" si="162"/>
        <v>88.491238019317294</v>
      </c>
      <c r="AF172" s="4">
        <f t="shared" si="163"/>
        <v>344.50629141591907</v>
      </c>
      <c r="AG172" s="4">
        <f t="shared" si="164"/>
        <v>-12.465104171654987</v>
      </c>
      <c r="AH172" s="4">
        <f t="shared" si="165"/>
        <v>81.494121066473753</v>
      </c>
      <c r="AI172" s="4">
        <f t="shared" si="166"/>
        <v>161.2965005679589</v>
      </c>
      <c r="AJ172" s="4">
        <f t="shared" si="167"/>
        <v>-13.581554569492573</v>
      </c>
      <c r="AK172" s="4">
        <f t="shared" si="168"/>
        <v>-744.18084003988758</v>
      </c>
      <c r="AL172" s="4">
        <f t="shared" si="169"/>
        <v>-4534.8283487888502</v>
      </c>
      <c r="AM172" s="4">
        <f t="shared" si="170"/>
        <v>-49.809388871031018</v>
      </c>
      <c r="AN172" s="4">
        <f t="shared" si="171"/>
        <v>347.17117858726755</v>
      </c>
      <c r="AO172" s="4">
        <f t="shared" si="172"/>
        <v>4163.9445271834884</v>
      </c>
      <c r="AP172" s="4">
        <f t="shared" si="173"/>
        <v>13534.628292997506</v>
      </c>
      <c r="AQ172" s="4">
        <f t="shared" si="174"/>
        <v>1.9699087676749156E-3</v>
      </c>
      <c r="AR172" s="4">
        <f t="shared" si="175"/>
        <v>-4.9331175169132976E-2</v>
      </c>
      <c r="AS172" s="4">
        <f t="shared" si="176"/>
        <v>2.1153296206720797E-3</v>
      </c>
      <c r="AT172" s="4">
        <f t="shared" si="177"/>
        <v>0.55528027424596815</v>
      </c>
      <c r="AU172" s="4">
        <f t="shared" si="178"/>
        <v>0.19752017174034539</v>
      </c>
      <c r="AV172" s="4">
        <f t="shared" si="179"/>
        <v>-2.6053745099623451E-3</v>
      </c>
      <c r="AW172" s="4">
        <f t="shared" si="180"/>
        <v>-2.7381784560288804</v>
      </c>
      <c r="AX172" s="4">
        <f t="shared" si="181"/>
        <v>-2.0160102807640525</v>
      </c>
      <c r="AY172" s="4">
        <f t="shared" si="182"/>
        <v>3.9864614659453785</v>
      </c>
      <c r="AZ172" s="4">
        <f t="shared" si="183"/>
        <v>24.807567774103049</v>
      </c>
      <c r="BA172" s="4">
        <f t="shared" si="184"/>
        <v>-5.658726594714477E-2</v>
      </c>
      <c r="BB172" s="4">
        <f t="shared" si="185"/>
        <v>-2.9822574801613788</v>
      </c>
      <c r="BC172" s="4">
        <f t="shared" si="186"/>
        <v>-1.4357140308700265</v>
      </c>
      <c r="BD172" s="4">
        <f t="shared" si="187"/>
        <v>10.536120454353355</v>
      </c>
      <c r="BE172" s="4">
        <f t="shared" si="188"/>
        <v>25.67189012120825</v>
      </c>
      <c r="BF172" s="4">
        <f t="shared" si="189"/>
        <v>-15.636311774197647</v>
      </c>
      <c r="BG172" s="4">
        <f t="shared" si="190"/>
        <v>-3.6089170803722683</v>
      </c>
      <c r="BH172" s="4">
        <f t="shared" si="191"/>
        <v>-52.631121801334714</v>
      </c>
      <c r="BI172" s="4">
        <f t="shared" si="192"/>
        <v>-5.8531364332878786</v>
      </c>
      <c r="BJ172" s="4">
        <f t="shared" si="193"/>
        <v>-133.1480047242008</v>
      </c>
      <c r="BK172" s="4">
        <f t="shared" si="194"/>
        <v>5.361304612543303E-2</v>
      </c>
      <c r="BL172" s="4">
        <f t="shared" si="195"/>
        <v>3.4395623799042956</v>
      </c>
      <c r="BM172" s="4">
        <f t="shared" si="196"/>
        <v>6.8676167138657771</v>
      </c>
      <c r="BN172" s="4">
        <f t="shared" si="197"/>
        <v>-8.1336574201305734</v>
      </c>
      <c r="BO172" s="4">
        <f t="shared" si="198"/>
        <v>-72.193725113188634</v>
      </c>
      <c r="BP172" s="4">
        <f t="shared" si="199"/>
        <v>-40.281651666860029</v>
      </c>
      <c r="BQ172" s="4">
        <f t="shared" si="200"/>
        <v>-10.7616315016281</v>
      </c>
      <c r="BR172" s="4">
        <f t="shared" si="201"/>
        <v>52.776116435319132</v>
      </c>
      <c r="BS172" s="4">
        <f t="shared" si="202"/>
        <v>395.48979531650332</v>
      </c>
      <c r="BT172" s="4">
        <f t="shared" si="203"/>
        <v>1427.4910512185345</v>
      </c>
      <c r="BU172" s="4">
        <f t="shared" si="204"/>
        <v>4.228813667104407</v>
      </c>
      <c r="BV172" s="4">
        <f t="shared" si="205"/>
        <v>59.27773161690731</v>
      </c>
      <c r="BW172" s="4">
        <f t="shared" si="206"/>
        <v>-275.14754979989095</v>
      </c>
      <c r="BX172" s="4">
        <f t="shared" si="207"/>
        <v>-1378.3729389899327</v>
      </c>
      <c r="BY172" s="4">
        <f t="shared" si="208"/>
        <v>-3587.5943056796245</v>
      </c>
      <c r="BZ172" s="6">
        <f t="shared" si="209"/>
        <v>-1.6988740778647298</v>
      </c>
      <c r="CA172" s="7"/>
      <c r="CB172" s="6">
        <v>-1.698871119514479</v>
      </c>
      <c r="CC172" s="6"/>
    </row>
    <row r="173" spans="1:81" x14ac:dyDescent="0.3">
      <c r="A173" s="4">
        <v>171</v>
      </c>
      <c r="B173" s="4">
        <v>46193738</v>
      </c>
      <c r="C173" s="4">
        <v>4.2089999999999996</v>
      </c>
      <c r="D173" s="4">
        <v>4.5999999999999996</v>
      </c>
      <c r="E173" s="4">
        <v>0.91800000000000004</v>
      </c>
      <c r="F173" s="4">
        <v>3.0619999999999998</v>
      </c>
      <c r="H173" s="6">
        <v>-2618.81325553337</v>
      </c>
      <c r="I173" s="4">
        <f t="shared" si="140"/>
        <v>195.3514840389</v>
      </c>
      <c r="J173" s="4">
        <f t="shared" si="141"/>
        <v>-2263.7900006</v>
      </c>
      <c r="K173" s="4">
        <f t="shared" si="142"/>
        <v>2174.5828188</v>
      </c>
      <c r="L173" s="4">
        <f t="shared" si="143"/>
        <v>9894.8717394399991</v>
      </c>
      <c r="M173" s="4">
        <f t="shared" si="144"/>
        <v>68.450925715518409</v>
      </c>
      <c r="N173" s="4">
        <f t="shared" si="145"/>
        <v>48.978790505777987</v>
      </c>
      <c r="O173" s="4">
        <f t="shared" si="146"/>
        <v>-265.95003875709597</v>
      </c>
      <c r="P173" s="4">
        <f t="shared" si="147"/>
        <v>-494.15625896788191</v>
      </c>
      <c r="Q173" s="4">
        <f t="shared" si="148"/>
        <v>-253.94026069999995</v>
      </c>
      <c r="R173" s="4">
        <f t="shared" si="149"/>
        <v>764.14347136079982</v>
      </c>
      <c r="S173" s="4">
        <f t="shared" si="150"/>
        <v>5959.509630068399</v>
      </c>
      <c r="T173" s="4">
        <f t="shared" si="151"/>
        <v>-349.79006249762398</v>
      </c>
      <c r="U173" s="4">
        <f t="shared" si="152"/>
        <v>-5779.2863311239607</v>
      </c>
      <c r="V173" s="4">
        <f t="shared" si="153"/>
        <v>-13939.045710358798</v>
      </c>
      <c r="W173" s="4">
        <f t="shared" si="154"/>
        <v>-2.698292695059989</v>
      </c>
      <c r="X173" s="4">
        <f t="shared" si="155"/>
        <v>10.813048381969816</v>
      </c>
      <c r="Y173" s="4">
        <f t="shared" si="156"/>
        <v>9.6730245249244327</v>
      </c>
      <c r="Z173" s="4">
        <f t="shared" si="157"/>
        <v>-142.26792132448426</v>
      </c>
      <c r="AA173" s="4">
        <f t="shared" si="158"/>
        <v>20.692584820660432</v>
      </c>
      <c r="AB173" s="4">
        <f t="shared" si="159"/>
        <v>-191.52628132256456</v>
      </c>
      <c r="AC173" s="4">
        <f t="shared" si="160"/>
        <v>2.057583544344042</v>
      </c>
      <c r="AD173" s="4">
        <f t="shared" si="161"/>
        <v>291.02673819745911</v>
      </c>
      <c r="AE173" s="4">
        <f t="shared" si="162"/>
        <v>235.5382093527468</v>
      </c>
      <c r="AF173" s="4">
        <f t="shared" si="163"/>
        <v>471.41043309051679</v>
      </c>
      <c r="AG173" s="4">
        <f t="shared" si="164"/>
        <v>-42.138393148895993</v>
      </c>
      <c r="AH173" s="4">
        <f t="shared" si="165"/>
        <v>306.93846900830397</v>
      </c>
      <c r="AI173" s="4">
        <f t="shared" si="166"/>
        <v>312.31361845434793</v>
      </c>
      <c r="AJ173" s="4">
        <f t="shared" si="167"/>
        <v>-56.992473931835519</v>
      </c>
      <c r="AK173" s="4">
        <f t="shared" si="168"/>
        <v>-1605.4154757385631</v>
      </c>
      <c r="AL173" s="4">
        <f t="shared" si="169"/>
        <v>-5029.3371261989078</v>
      </c>
      <c r="AM173" s="4">
        <f t="shared" si="170"/>
        <v>-232.87465446468684</v>
      </c>
      <c r="AN173" s="4">
        <f t="shared" si="171"/>
        <v>834.44094940390607</v>
      </c>
      <c r="AO173" s="4">
        <f t="shared" si="172"/>
        <v>5145.1473200410928</v>
      </c>
      <c r="AP173" s="4">
        <f t="shared" si="173"/>
        <v>8597.6576264312189</v>
      </c>
      <c r="AQ173" s="4">
        <f t="shared" si="174"/>
        <v>2.3161360871089779E-2</v>
      </c>
      <c r="AR173" s="4">
        <f t="shared" si="175"/>
        <v>-0.47009678847502895</v>
      </c>
      <c r="AS173" s="4">
        <f t="shared" si="176"/>
        <v>2.2458816028215079E-2</v>
      </c>
      <c r="AT173" s="4">
        <f t="shared" si="177"/>
        <v>3.0308328600626435</v>
      </c>
      <c r="AU173" s="4">
        <f t="shared" si="178"/>
        <v>1.525545412389872</v>
      </c>
      <c r="AV173" s="4">
        <f t="shared" si="179"/>
        <v>-2.2419546808995487E-2</v>
      </c>
      <c r="AW173" s="4">
        <f t="shared" si="180"/>
        <v>-12.113212979069814</v>
      </c>
      <c r="AX173" s="4">
        <f t="shared" si="181"/>
        <v>-19.32824384526835</v>
      </c>
      <c r="AY173" s="4">
        <f t="shared" si="182"/>
        <v>19.648443777237492</v>
      </c>
      <c r="AZ173" s="4">
        <f t="shared" si="183"/>
        <v>62.858745452999401</v>
      </c>
      <c r="BA173" s="4">
        <f t="shared" si="184"/>
        <v>-0.35422585701972226</v>
      </c>
      <c r="BB173" s="4">
        <f t="shared" si="185"/>
        <v>-20.79934549544366</v>
      </c>
      <c r="BC173" s="4">
        <f t="shared" si="186"/>
        <v>-5.1477021644463683</v>
      </c>
      <c r="BD173" s="4">
        <f t="shared" si="187"/>
        <v>81.870650941102866</v>
      </c>
      <c r="BE173" s="4">
        <f t="shared" si="188"/>
        <v>102.55251042205211</v>
      </c>
      <c r="BF173" s="4">
        <f t="shared" si="189"/>
        <v>-32.111730226619322</v>
      </c>
      <c r="BG173" s="4">
        <f t="shared" si="190"/>
        <v>-31.244055742754771</v>
      </c>
      <c r="BH173" s="4">
        <f t="shared" si="191"/>
        <v>-234.24701295505167</v>
      </c>
      <c r="BI173" s="4">
        <f t="shared" si="192"/>
        <v>-13.392480313108864</v>
      </c>
      <c r="BJ173" s="4">
        <f t="shared" si="193"/>
        <v>-156.62026933555111</v>
      </c>
      <c r="BK173" s="4">
        <f t="shared" si="194"/>
        <v>0.27200688344268309</v>
      </c>
      <c r="BL173" s="4">
        <f t="shared" si="195"/>
        <v>19.442655696033064</v>
      </c>
      <c r="BM173" s="4">
        <f t="shared" si="196"/>
        <v>19.957189385805346</v>
      </c>
      <c r="BN173" s="4">
        <f t="shared" si="197"/>
        <v>-51.224916087641027</v>
      </c>
      <c r="BO173" s="4">
        <f t="shared" si="198"/>
        <v>-233.74146684464611</v>
      </c>
      <c r="BP173" s="4">
        <f t="shared" si="199"/>
        <v>-67.047797770255457</v>
      </c>
      <c r="BQ173" s="4">
        <f t="shared" si="200"/>
        <v>-75.512088137806487</v>
      </c>
      <c r="BR173" s="4">
        <f t="shared" si="201"/>
        <v>190.37798541121199</v>
      </c>
      <c r="BS173" s="4">
        <f t="shared" si="202"/>
        <v>733.42466994506049</v>
      </c>
      <c r="BT173" s="4">
        <f t="shared" si="203"/>
        <v>1360.9261558055939</v>
      </c>
      <c r="BU173" s="4">
        <f t="shared" si="204"/>
        <v>33.059775220019816</v>
      </c>
      <c r="BV173" s="4">
        <f t="shared" si="205"/>
        <v>238.23954864263288</v>
      </c>
      <c r="BW173" s="4">
        <f t="shared" si="206"/>
        <v>-568.49790125659968</v>
      </c>
      <c r="BX173" s="4">
        <f t="shared" si="207"/>
        <v>-1464.1004990342533</v>
      </c>
      <c r="BY173" s="4">
        <f t="shared" si="208"/>
        <v>-1959.0630387885517</v>
      </c>
      <c r="BZ173" s="6">
        <f t="shared" si="209"/>
        <v>-2.2302393196725916</v>
      </c>
      <c r="CA173" s="7"/>
      <c r="CB173" s="6">
        <v>-2.2302407594384022</v>
      </c>
      <c r="CC173" s="6"/>
    </row>
    <row r="174" spans="1:81" x14ac:dyDescent="0.3">
      <c r="A174" s="4">
        <v>172</v>
      </c>
      <c r="B174" s="4">
        <v>164614753</v>
      </c>
      <c r="C174" s="4">
        <v>2.7069999999999999</v>
      </c>
      <c r="D174" s="4">
        <v>3.911</v>
      </c>
      <c r="E174" s="4">
        <v>0.438</v>
      </c>
      <c r="F174" s="4">
        <v>3.5339999999999998</v>
      </c>
      <c r="H174" s="6">
        <v>-2618.81325553337</v>
      </c>
      <c r="I174" s="4">
        <f t="shared" si="140"/>
        <v>125.63945528469999</v>
      </c>
      <c r="J174" s="4">
        <f t="shared" si="141"/>
        <v>-1924.713628771</v>
      </c>
      <c r="K174" s="4">
        <f t="shared" si="142"/>
        <v>1037.5460507999999</v>
      </c>
      <c r="L174" s="4">
        <f t="shared" si="143"/>
        <v>11420.142628079999</v>
      </c>
      <c r="M174" s="4">
        <f t="shared" si="144"/>
        <v>28.313788645976182</v>
      </c>
      <c r="N174" s="4">
        <f t="shared" si="145"/>
        <v>26.782269177411788</v>
      </c>
      <c r="O174" s="4">
        <f t="shared" si="146"/>
        <v>-81.609518831927986</v>
      </c>
      <c r="P174" s="4">
        <f t="shared" si="147"/>
        <v>-366.80478236770193</v>
      </c>
      <c r="Q174" s="4">
        <f t="shared" si="148"/>
        <v>-183.56569784435749</v>
      </c>
      <c r="R174" s="4">
        <f t="shared" si="149"/>
        <v>309.98188903654801</v>
      </c>
      <c r="S174" s="4">
        <f t="shared" si="150"/>
        <v>5847.9260077769586</v>
      </c>
      <c r="T174" s="4">
        <f t="shared" si="151"/>
        <v>-79.628828358743988</v>
      </c>
      <c r="U174" s="4">
        <f t="shared" si="152"/>
        <v>-3182.4896502265201</v>
      </c>
      <c r="V174" s="4">
        <f t="shared" si="153"/>
        <v>-18567.599500141197</v>
      </c>
      <c r="W174" s="4">
        <f t="shared" si="154"/>
        <v>-0.71782246795025983</v>
      </c>
      <c r="X174" s="4">
        <f t="shared" si="155"/>
        <v>3.8027413796911742</v>
      </c>
      <c r="Y174" s="4">
        <f t="shared" si="156"/>
        <v>1.9090283513365496</v>
      </c>
      <c r="Z174" s="4">
        <f t="shared" si="157"/>
        <v>-67.91833096283645</v>
      </c>
      <c r="AA174" s="4">
        <f t="shared" si="158"/>
        <v>9.6201987088608369</v>
      </c>
      <c r="AB174" s="4">
        <f t="shared" si="159"/>
        <v>-49.968823020904765</v>
      </c>
      <c r="AC174" s="4">
        <f t="shared" si="160"/>
        <v>1.2985484287106754</v>
      </c>
      <c r="AD174" s="4">
        <f t="shared" si="161"/>
        <v>42.609366804523049</v>
      </c>
      <c r="AE174" s="4">
        <f t="shared" si="162"/>
        <v>83.418713387473886</v>
      </c>
      <c r="AF174" s="4">
        <f t="shared" si="163"/>
        <v>403.86036885100111</v>
      </c>
      <c r="AG174" s="4">
        <f t="shared" si="164"/>
        <v>-25.898101198754514</v>
      </c>
      <c r="AH174" s="4">
        <f t="shared" si="165"/>
        <v>105.8626400435751</v>
      </c>
      <c r="AI174" s="4">
        <f t="shared" si="166"/>
        <v>260.56270216486769</v>
      </c>
      <c r="AJ174" s="4">
        <f t="shared" si="167"/>
        <v>-11.030884877073857</v>
      </c>
      <c r="AK174" s="4">
        <f t="shared" si="168"/>
        <v>-751.6405774315873</v>
      </c>
      <c r="AL174" s="4">
        <f t="shared" si="169"/>
        <v>-5695.9143491182376</v>
      </c>
      <c r="AM174" s="4">
        <f t="shared" si="170"/>
        <v>-25.293941594970335</v>
      </c>
      <c r="AN174" s="4">
        <f t="shared" si="171"/>
        <v>219.24001643097978</v>
      </c>
      <c r="AO174" s="4">
        <f t="shared" si="172"/>
        <v>3270.0316886763658</v>
      </c>
      <c r="AP174" s="4">
        <f t="shared" si="173"/>
        <v>13217.953605938177</v>
      </c>
      <c r="AQ174" s="4">
        <f t="shared" si="174"/>
        <v>3.9627930563201404E-3</v>
      </c>
      <c r="AR174" s="4">
        <f t="shared" si="175"/>
        <v>-0.10632741574188885</v>
      </c>
      <c r="AS174" s="4">
        <f t="shared" si="176"/>
        <v>2.8506656132603822E-3</v>
      </c>
      <c r="AT174" s="4">
        <f t="shared" si="177"/>
        <v>0.93057490375351581</v>
      </c>
      <c r="AU174" s="4">
        <f t="shared" si="178"/>
        <v>0.45614589285406398</v>
      </c>
      <c r="AV174" s="4">
        <f t="shared" si="179"/>
        <v>-3.7618970226383293E-3</v>
      </c>
      <c r="AW174" s="4">
        <f t="shared" si="180"/>
        <v>-4.9166507124814256</v>
      </c>
      <c r="AX174" s="4">
        <f t="shared" si="181"/>
        <v>-1.8200105886999942</v>
      </c>
      <c r="AY174" s="4">
        <f t="shared" si="182"/>
        <v>4.4754798552310309</v>
      </c>
      <c r="AZ174" s="4">
        <f t="shared" si="183"/>
        <v>34.634353609981403</v>
      </c>
      <c r="BA174" s="4">
        <f t="shared" si="184"/>
        <v>-0.14001660483605269</v>
      </c>
      <c r="BB174" s="4">
        <f t="shared" si="185"/>
        <v>-4.6137111036735323</v>
      </c>
      <c r="BC174" s="4">
        <f t="shared" si="186"/>
        <v>-2.7621297080056286</v>
      </c>
      <c r="BD174" s="4">
        <f t="shared" si="187"/>
        <v>10.191319483231275</v>
      </c>
      <c r="BE174" s="4">
        <f t="shared" si="188"/>
        <v>30.880078700350012</v>
      </c>
      <c r="BF174" s="4">
        <f t="shared" si="189"/>
        <v>-23.389758542863575</v>
      </c>
      <c r="BG174" s="4">
        <f t="shared" si="190"/>
        <v>-2.1825842750171098</v>
      </c>
      <c r="BH174" s="4">
        <f t="shared" si="191"/>
        <v>-39.582899988547126</v>
      </c>
      <c r="BI174" s="4">
        <f t="shared" si="192"/>
        <v>-5.4742483176765067</v>
      </c>
      <c r="BJ174" s="4">
        <f t="shared" si="193"/>
        <v>-154.86075523359528</v>
      </c>
      <c r="BK174" s="4">
        <f t="shared" si="194"/>
        <v>0.14213460652397336</v>
      </c>
      <c r="BL174" s="4">
        <f t="shared" si="195"/>
        <v>5.7013403491511081</v>
      </c>
      <c r="BM174" s="4">
        <f t="shared" si="196"/>
        <v>14.156330399908652</v>
      </c>
      <c r="BN174" s="4">
        <f t="shared" si="197"/>
        <v>-8.429544017320751</v>
      </c>
      <c r="BO174" s="4">
        <f t="shared" si="198"/>
        <v>-93.04403195615042</v>
      </c>
      <c r="BP174" s="4">
        <f t="shared" si="199"/>
        <v>-64.560547375410451</v>
      </c>
      <c r="BQ174" s="4">
        <f t="shared" si="200"/>
        <v>-6.9733385789708739</v>
      </c>
      <c r="BR174" s="4">
        <f t="shared" si="201"/>
        <v>42.527605288983651</v>
      </c>
      <c r="BS174" s="4">
        <f t="shared" si="202"/>
        <v>396.31421078398876</v>
      </c>
      <c r="BT174" s="4">
        <f t="shared" si="203"/>
        <v>1778.8880661220498</v>
      </c>
      <c r="BU174" s="4">
        <f t="shared" si="204"/>
        <v>1.7132692240703573</v>
      </c>
      <c r="BV174" s="4">
        <f t="shared" si="205"/>
        <v>29.865480356419187</v>
      </c>
      <c r="BW174" s="4">
        <f t="shared" si="206"/>
        <v>-172.39094166429507</v>
      </c>
      <c r="BX174" s="4">
        <f t="shared" si="207"/>
        <v>-1073.9557668458333</v>
      </c>
      <c r="BY174" s="4">
        <f t="shared" si="208"/>
        <v>-3476.1126824656735</v>
      </c>
      <c r="BZ174" s="6">
        <f t="shared" si="209"/>
        <v>-1.5424890366275577</v>
      </c>
      <c r="CA174" s="7"/>
      <c r="CB174" s="6">
        <v>-1.5424868503696421</v>
      </c>
      <c r="CC174" s="6"/>
    </row>
    <row r="175" spans="1:81" x14ac:dyDescent="0.3">
      <c r="A175" s="4">
        <v>173</v>
      </c>
      <c r="B175" s="4">
        <v>118706529</v>
      </c>
      <c r="C175" s="4">
        <v>3.004</v>
      </c>
      <c r="D175" s="4">
        <v>5.4420000000000002</v>
      </c>
      <c r="E175" s="4">
        <v>0.39400000000000002</v>
      </c>
      <c r="F175" s="4">
        <v>3.8719999999999999</v>
      </c>
      <c r="H175" s="6">
        <v>-2618.81325553337</v>
      </c>
      <c r="I175" s="4">
        <f t="shared" si="140"/>
        <v>139.42405750840001</v>
      </c>
      <c r="J175" s="4">
        <f t="shared" si="141"/>
        <v>-2678.1619963620001</v>
      </c>
      <c r="K175" s="4">
        <f t="shared" si="142"/>
        <v>933.31768039999997</v>
      </c>
      <c r="L175" s="4">
        <f t="shared" si="143"/>
        <v>12512.391696639999</v>
      </c>
      <c r="M175" s="4">
        <f t="shared" si="144"/>
        <v>34.86754186145312</v>
      </c>
      <c r="N175" s="4">
        <f t="shared" si="145"/>
        <v>41.35516564448136</v>
      </c>
      <c r="O175" s="4">
        <f t="shared" si="146"/>
        <v>-81.465663906207993</v>
      </c>
      <c r="P175" s="4">
        <f t="shared" si="147"/>
        <v>-445.98008437875194</v>
      </c>
      <c r="Q175" s="4">
        <f t="shared" si="148"/>
        <v>-355.41272471103002</v>
      </c>
      <c r="R175" s="4">
        <f t="shared" si="149"/>
        <v>387.99770195872799</v>
      </c>
      <c r="S175" s="4">
        <f t="shared" si="150"/>
        <v>8915.4115133086088</v>
      </c>
      <c r="T175" s="4">
        <f t="shared" si="151"/>
        <v>-64.433919221335998</v>
      </c>
      <c r="U175" s="4">
        <f t="shared" si="152"/>
        <v>-3136.5911644460803</v>
      </c>
      <c r="V175" s="4">
        <f t="shared" si="153"/>
        <v>-22289.1428103168</v>
      </c>
      <c r="W175" s="4">
        <f t="shared" si="154"/>
        <v>-0.98096173154036637</v>
      </c>
      <c r="X175" s="4">
        <f t="shared" si="155"/>
        <v>6.5161467597786098</v>
      </c>
      <c r="Y175" s="4">
        <f t="shared" si="156"/>
        <v>2.1147441618168581</v>
      </c>
      <c r="Z175" s="4">
        <f t="shared" si="157"/>
        <v>-91.638749360603654</v>
      </c>
      <c r="AA175" s="4">
        <f t="shared" si="158"/>
        <v>20.669842061597009</v>
      </c>
      <c r="AB175" s="4">
        <f t="shared" si="159"/>
        <v>-69.40705630047502</v>
      </c>
      <c r="AC175" s="4">
        <f t="shared" si="160"/>
        <v>2.1968952435727642</v>
      </c>
      <c r="AD175" s="4">
        <f t="shared" si="161"/>
        <v>38.261410452077413</v>
      </c>
      <c r="AE175" s="4">
        <f t="shared" si="162"/>
        <v>91.235965970212391</v>
      </c>
      <c r="AF175" s="4">
        <f t="shared" si="163"/>
        <v>537.99782148417091</v>
      </c>
      <c r="AG175" s="4">
        <f t="shared" si="164"/>
        <v>-69.771825837843323</v>
      </c>
      <c r="AH175" s="4">
        <f t="shared" si="165"/>
        <v>184.37680063927064</v>
      </c>
      <c r="AI175" s="4">
        <f t="shared" si="166"/>
        <v>552.74203850830725</v>
      </c>
      <c r="AJ175" s="4">
        <f t="shared" si="167"/>
        <v>-12.420105825668987</v>
      </c>
      <c r="AK175" s="4">
        <f t="shared" si="168"/>
        <v>-1030.7939331386528</v>
      </c>
      <c r="AL175" s="4">
        <f t="shared" si="169"/>
        <v>-9514.1890886814344</v>
      </c>
      <c r="AM175" s="4">
        <f t="shared" si="170"/>
        <v>-18.411231779336994</v>
      </c>
      <c r="AN175" s="4">
        <f t="shared" si="171"/>
        <v>194.37161898306803</v>
      </c>
      <c r="AO175" s="4">
        <f t="shared" si="172"/>
        <v>3531.1135185236053</v>
      </c>
      <c r="AP175" s="4">
        <f t="shared" si="173"/>
        <v>17384.837420018826</v>
      </c>
      <c r="AQ175" s="4">
        <f t="shared" si="174"/>
        <v>6.0096348340669369E-3</v>
      </c>
      <c r="AR175" s="4">
        <f t="shared" si="175"/>
        <v>-0.20218596154894813</v>
      </c>
      <c r="AS175" s="4">
        <f t="shared" si="176"/>
        <v>3.5043171655325055E-3</v>
      </c>
      <c r="AT175" s="4">
        <f t="shared" si="177"/>
        <v>1.3933337509286772</v>
      </c>
      <c r="AU175" s="4">
        <f t="shared" si="178"/>
        <v>1.0875983922785388</v>
      </c>
      <c r="AV175" s="4">
        <f t="shared" si="179"/>
        <v>-5.7985990630123382E-3</v>
      </c>
      <c r="AW175" s="4">
        <f t="shared" si="180"/>
        <v>-9.2306487747877757</v>
      </c>
      <c r="AX175" s="4">
        <f t="shared" si="181"/>
        <v>-1.8135998970057516</v>
      </c>
      <c r="AY175" s="4">
        <f t="shared" si="182"/>
        <v>5.4319262715225314</v>
      </c>
      <c r="AZ175" s="4">
        <f t="shared" si="183"/>
        <v>51.199773384912497</v>
      </c>
      <c r="BA175" s="4">
        <f t="shared" si="184"/>
        <v>-0.41860400542207721</v>
      </c>
      <c r="BB175" s="4">
        <f t="shared" si="185"/>
        <v>-8.9171407917773813</v>
      </c>
      <c r="BC175" s="4">
        <f t="shared" si="186"/>
        <v>-6.5022848041669921</v>
      </c>
      <c r="BD175" s="4">
        <f t="shared" si="187"/>
        <v>12.733770930229843</v>
      </c>
      <c r="BE175" s="4">
        <f t="shared" si="188"/>
        <v>46.995005778657941</v>
      </c>
      <c r="BF175" s="4">
        <f t="shared" si="189"/>
        <v>-43.355653777176933</v>
      </c>
      <c r="BG175" s="4">
        <f t="shared" si="190"/>
        <v>-1.7629866692796563</v>
      </c>
      <c r="BH175" s="4">
        <f t="shared" si="191"/>
        <v>-38.943260318450179</v>
      </c>
      <c r="BI175" s="4">
        <f t="shared" si="192"/>
        <v>-6.5598798413885175</v>
      </c>
      <c r="BJ175" s="4">
        <f t="shared" si="193"/>
        <v>-226.02654986398014</v>
      </c>
      <c r="BK175" s="4">
        <f t="shared" si="194"/>
        <v>0.53282269828999362</v>
      </c>
      <c r="BL175" s="4">
        <f t="shared" si="195"/>
        <v>13.816920010595164</v>
      </c>
      <c r="BM175" s="4">
        <f t="shared" si="196"/>
        <v>41.786082578022935</v>
      </c>
      <c r="BN175" s="4">
        <f t="shared" si="197"/>
        <v>-13.206561205182711</v>
      </c>
      <c r="BO175" s="4">
        <f t="shared" si="198"/>
        <v>-177.55008295567634</v>
      </c>
      <c r="BP175" s="4">
        <f t="shared" si="199"/>
        <v>-150.05354284263865</v>
      </c>
      <c r="BQ175" s="4">
        <f t="shared" si="200"/>
        <v>-7.0628146247887109</v>
      </c>
      <c r="BR175" s="4">
        <f t="shared" si="201"/>
        <v>52.463187817901684</v>
      </c>
      <c r="BS175" s="4">
        <f t="shared" si="202"/>
        <v>595.48398361967099</v>
      </c>
      <c r="BT175" s="4">
        <f t="shared" si="203"/>
        <v>3255.5603724998778</v>
      </c>
      <c r="BU175" s="4">
        <f t="shared" si="204"/>
        <v>1.1217964437145198</v>
      </c>
      <c r="BV175" s="4">
        <f t="shared" si="205"/>
        <v>23.817964398076175</v>
      </c>
      <c r="BW175" s="4">
        <f t="shared" si="206"/>
        <v>-167.45428743382084</v>
      </c>
      <c r="BX175" s="4">
        <f t="shared" si="207"/>
        <v>-1270.6177445967403</v>
      </c>
      <c r="BY175" s="4">
        <f t="shared" si="208"/>
        <v>-5009.2079371708151</v>
      </c>
      <c r="BZ175" s="6">
        <f t="shared" si="209"/>
        <v>-1.8725030101859375</v>
      </c>
      <c r="CA175" s="7"/>
      <c r="CB175" s="6">
        <v>-1.8725040784929661</v>
      </c>
      <c r="CC175" s="6"/>
    </row>
    <row r="176" spans="1:81" x14ac:dyDescent="0.3">
      <c r="A176" s="4">
        <v>174</v>
      </c>
      <c r="B176" s="4">
        <v>46193734</v>
      </c>
      <c r="C176" s="4">
        <v>4.7469999999999999</v>
      </c>
      <c r="D176" s="4">
        <v>4.5019999999999998</v>
      </c>
      <c r="E176" s="4">
        <v>0.96399999999999997</v>
      </c>
      <c r="F176" s="4">
        <v>3.0649999999999999</v>
      </c>
      <c r="H176" s="6">
        <v>-2618.81325553337</v>
      </c>
      <c r="I176" s="4">
        <f t="shared" si="140"/>
        <v>220.32157156869999</v>
      </c>
      <c r="J176" s="4">
        <f t="shared" si="141"/>
        <v>-2215.5614310219999</v>
      </c>
      <c r="K176" s="4">
        <f t="shared" si="142"/>
        <v>2283.5488424</v>
      </c>
      <c r="L176" s="4">
        <f t="shared" si="143"/>
        <v>9904.5662577999992</v>
      </c>
      <c r="M176" s="4">
        <f t="shared" si="144"/>
        <v>87.068274492627381</v>
      </c>
      <c r="N176" s="4">
        <f t="shared" si="145"/>
        <v>54.062487114890374</v>
      </c>
      <c r="O176" s="4">
        <f t="shared" si="146"/>
        <v>-314.97400785966397</v>
      </c>
      <c r="P176" s="4">
        <f t="shared" si="147"/>
        <v>-557.86600704684486</v>
      </c>
      <c r="Q176" s="4">
        <f t="shared" si="148"/>
        <v>-243.23545461382997</v>
      </c>
      <c r="R176" s="4">
        <f t="shared" si="149"/>
        <v>785.33855436580791</v>
      </c>
      <c r="S176" s="4">
        <f t="shared" si="150"/>
        <v>5838.2606116172101</v>
      </c>
      <c r="T176" s="4">
        <f t="shared" si="151"/>
        <v>-385.72356538889596</v>
      </c>
      <c r="U176" s="4">
        <f t="shared" si="152"/>
        <v>-6074.8261958446001</v>
      </c>
      <c r="V176" s="4">
        <f t="shared" si="153"/>
        <v>-13966.3727007825</v>
      </c>
      <c r="W176" s="4">
        <f t="shared" si="154"/>
        <v>-3.8708823837196831</v>
      </c>
      <c r="X176" s="4">
        <f t="shared" si="155"/>
        <v>13.460971883615404</v>
      </c>
      <c r="Y176" s="4">
        <f t="shared" si="156"/>
        <v>12.920438509583956</v>
      </c>
      <c r="Z176" s="4">
        <f t="shared" si="157"/>
        <v>-181.13938567284697</v>
      </c>
      <c r="AA176" s="4">
        <f t="shared" si="158"/>
        <v>22.353748891483402</v>
      </c>
      <c r="AB176" s="4">
        <f t="shared" si="159"/>
        <v>-221.99883436421862</v>
      </c>
      <c r="AC176" s="4">
        <f t="shared" si="160"/>
        <v>2.2733731971849678</v>
      </c>
      <c r="AD176" s="4">
        <f t="shared" si="161"/>
        <v>361.94443463161434</v>
      </c>
      <c r="AE176" s="4">
        <f t="shared" si="162"/>
        <v>279.22951386907562</v>
      </c>
      <c r="AF176" s="4">
        <f t="shared" si="163"/>
        <v>532.70905734054338</v>
      </c>
      <c r="AG176" s="4">
        <f t="shared" si="164"/>
        <v>-39.502169457046477</v>
      </c>
      <c r="AH176" s="4">
        <f t="shared" si="165"/>
        <v>308.73153570987671</v>
      </c>
      <c r="AI176" s="4">
        <f t="shared" si="166"/>
        <v>299.44118483735724</v>
      </c>
      <c r="AJ176" s="4">
        <f t="shared" si="167"/>
        <v>-61.508321204813832</v>
      </c>
      <c r="AK176" s="4">
        <f t="shared" si="168"/>
        <v>-1651.5614959937514</v>
      </c>
      <c r="AL176" s="4">
        <f t="shared" si="169"/>
        <v>-4931.8401533348215</v>
      </c>
      <c r="AM176" s="4">
        <f t="shared" si="170"/>
        <v>-269.66543394770866</v>
      </c>
      <c r="AN176" s="4">
        <f t="shared" si="171"/>
        <v>921.0635722172849</v>
      </c>
      <c r="AO176" s="4">
        <f t="shared" si="172"/>
        <v>5413.5574756270507</v>
      </c>
      <c r="AP176" s="4">
        <f t="shared" si="173"/>
        <v>8622.9531050502374</v>
      </c>
      <c r="AQ176" s="4">
        <f t="shared" si="174"/>
        <v>3.7473589679610897E-2</v>
      </c>
      <c r="AR176" s="4">
        <f t="shared" si="175"/>
        <v>-0.66001812367702728</v>
      </c>
      <c r="AS176" s="4">
        <f t="shared" si="176"/>
        <v>3.3833126164218477E-2</v>
      </c>
      <c r="AT176" s="4">
        <f t="shared" si="177"/>
        <v>4.3521935159830427</v>
      </c>
      <c r="AU176" s="4">
        <f t="shared" si="178"/>
        <v>1.8586647826076592</v>
      </c>
      <c r="AV176" s="4">
        <f t="shared" si="179"/>
        <v>-2.9308220689769189E-2</v>
      </c>
      <c r="AW176" s="4">
        <f t="shared" si="180"/>
        <v>-15.094297889166887</v>
      </c>
      <c r="AX176" s="4">
        <f t="shared" si="181"/>
        <v>-27.110761310197841</v>
      </c>
      <c r="AY176" s="4">
        <f t="shared" si="182"/>
        <v>26.270504654138719</v>
      </c>
      <c r="AZ176" s="4">
        <f t="shared" si="183"/>
        <v>80.111876760154004</v>
      </c>
      <c r="BA176" s="4">
        <f t="shared" si="184"/>
        <v>-0.37451010701550486</v>
      </c>
      <c r="BB176" s="4">
        <f t="shared" si="185"/>
        <v>-23.594981742630566</v>
      </c>
      <c r="BC176" s="4">
        <f t="shared" si="186"/>
        <v>-5.5663989309338069</v>
      </c>
      <c r="BD176" s="4">
        <f t="shared" si="187"/>
        <v>99.65174631772858</v>
      </c>
      <c r="BE176" s="4">
        <f t="shared" si="188"/>
        <v>118.98546337208865</v>
      </c>
      <c r="BF176" s="4">
        <f t="shared" si="189"/>
        <v>-35.51421802619587</v>
      </c>
      <c r="BG176" s="4">
        <f t="shared" si="190"/>
        <v>-40.804754382666864</v>
      </c>
      <c r="BH176" s="4">
        <f t="shared" si="191"/>
        <v>-291.61399692898203</v>
      </c>
      <c r="BI176" s="4">
        <f t="shared" si="192"/>
        <v>-15.89228190913057</v>
      </c>
      <c r="BJ176" s="4">
        <f t="shared" si="193"/>
        <v>-177.15937926441552</v>
      </c>
      <c r="BK176" s="4">
        <f t="shared" si="194"/>
        <v>0.24955744488446935</v>
      </c>
      <c r="BL176" s="4">
        <f t="shared" si="195"/>
        <v>19.139602552724146</v>
      </c>
      <c r="BM176" s="4">
        <f t="shared" si="196"/>
        <v>18.726975748114629</v>
      </c>
      <c r="BN176" s="4">
        <f t="shared" si="197"/>
        <v>-54.105981416558066</v>
      </c>
      <c r="BO176" s="4">
        <f t="shared" si="198"/>
        <v>-235.3372792760963</v>
      </c>
      <c r="BP176" s="4">
        <f t="shared" si="199"/>
        <v>-64.347313626375438</v>
      </c>
      <c r="BQ176" s="4">
        <f t="shared" si="200"/>
        <v>-85.578997966385572</v>
      </c>
      <c r="BR176" s="4">
        <f t="shared" si="201"/>
        <v>205.6640499281431</v>
      </c>
      <c r="BS176" s="4">
        <f t="shared" si="202"/>
        <v>755.24543820243196</v>
      </c>
      <c r="BT176" s="4">
        <f t="shared" si="203"/>
        <v>1335.8512383017371</v>
      </c>
      <c r="BU176" s="4">
        <f t="shared" si="204"/>
        <v>40.201041738310138</v>
      </c>
      <c r="BV176" s="4">
        <f t="shared" si="205"/>
        <v>276.14819458152374</v>
      </c>
      <c r="BW176" s="4">
        <f t="shared" si="206"/>
        <v>-628.12800401549248</v>
      </c>
      <c r="BX176" s="4">
        <f t="shared" si="207"/>
        <v>-1541.9884433258769</v>
      </c>
      <c r="BY176" s="4">
        <f t="shared" si="208"/>
        <v>-1966.7519114720683</v>
      </c>
      <c r="BZ176" s="6">
        <f t="shared" si="209"/>
        <v>-1.7792666446325711</v>
      </c>
      <c r="CA176" s="7"/>
      <c r="CB176" s="6">
        <v>-1.7792684655942139</v>
      </c>
      <c r="CC176" s="6"/>
    </row>
    <row r="177" spans="1:81" x14ac:dyDescent="0.3">
      <c r="A177" s="4">
        <v>175</v>
      </c>
      <c r="B177" s="4">
        <v>122196052</v>
      </c>
      <c r="C177" s="4">
        <v>2.7189999999999999</v>
      </c>
      <c r="D177" s="4">
        <v>4.0190000000000001</v>
      </c>
      <c r="E177" s="4">
        <v>0.44500000000000001</v>
      </c>
      <c r="F177" s="4">
        <v>3.589</v>
      </c>
      <c r="H177" s="6">
        <v>-2618.81325553337</v>
      </c>
      <c r="I177" s="4">
        <f t="shared" si="140"/>
        <v>126.1964089099</v>
      </c>
      <c r="J177" s="4">
        <f t="shared" si="141"/>
        <v>-1977.8634809590001</v>
      </c>
      <c r="K177" s="4">
        <f t="shared" si="142"/>
        <v>1054.127837</v>
      </c>
      <c r="L177" s="4">
        <f t="shared" si="143"/>
        <v>11597.875464680001</v>
      </c>
      <c r="M177" s="4">
        <f t="shared" si="144"/>
        <v>28.565372351688019</v>
      </c>
      <c r="N177" s="4">
        <f t="shared" si="145"/>
        <v>27.643849041761467</v>
      </c>
      <c r="O177" s="4">
        <f t="shared" si="146"/>
        <v>-83.281333325139983</v>
      </c>
      <c r="P177" s="4">
        <f t="shared" si="147"/>
        <v>-374.16473623918893</v>
      </c>
      <c r="Q177" s="4">
        <f t="shared" si="148"/>
        <v>-193.84379788565752</v>
      </c>
      <c r="R177" s="4">
        <f t="shared" si="149"/>
        <v>323.63271101462999</v>
      </c>
      <c r="S177" s="4">
        <f t="shared" si="150"/>
        <v>6102.9382025420973</v>
      </c>
      <c r="T177" s="4">
        <f t="shared" si="151"/>
        <v>-82.194380516150005</v>
      </c>
      <c r="U177" s="4">
        <f t="shared" si="152"/>
        <v>-3283.6723316775506</v>
      </c>
      <c r="V177" s="4">
        <f t="shared" si="153"/>
        <v>-19150.035624581698</v>
      </c>
      <c r="W177" s="4">
        <f t="shared" si="154"/>
        <v>-0.72741106518680898</v>
      </c>
      <c r="X177" s="4">
        <f t="shared" si="155"/>
        <v>3.9424744220114469</v>
      </c>
      <c r="Y177" s="4">
        <f t="shared" si="156"/>
        <v>1.9567718064643349</v>
      </c>
      <c r="Z177" s="4">
        <f t="shared" si="157"/>
        <v>-69.588235051187439</v>
      </c>
      <c r="AA177" s="4">
        <f t="shared" si="158"/>
        <v>10.203880760803735</v>
      </c>
      <c r="AB177" s="4">
        <f t="shared" si="159"/>
        <v>-52.400588273958398</v>
      </c>
      <c r="AC177" s="4">
        <f t="shared" si="160"/>
        <v>1.3611820277165625</v>
      </c>
      <c r="AD177" s="4">
        <f t="shared" si="161"/>
        <v>44.177164077503143</v>
      </c>
      <c r="AE177" s="4">
        <f t="shared" si="162"/>
        <v>86.452439505279969</v>
      </c>
      <c r="AF177" s="4">
        <f t="shared" si="163"/>
        <v>418.37527972013453</v>
      </c>
      <c r="AG177" s="4">
        <f t="shared" si="164"/>
        <v>-28.103376023542136</v>
      </c>
      <c r="AH177" s="4">
        <f t="shared" si="165"/>
        <v>113.57663602108227</v>
      </c>
      <c r="AI177" s="4">
        <f t="shared" si="166"/>
        <v>279.4341901328408</v>
      </c>
      <c r="AJ177" s="4">
        <f t="shared" si="167"/>
        <v>-11.700713442041781</v>
      </c>
      <c r="AK177" s="4">
        <f t="shared" si="168"/>
        <v>-796.95393880437996</v>
      </c>
      <c r="AL177" s="4">
        <f t="shared" si="169"/>
        <v>-6036.8094353781462</v>
      </c>
      <c r="AM177" s="4">
        <f t="shared" si="170"/>
        <v>-26.526149493146502</v>
      </c>
      <c r="AN177" s="4">
        <f t="shared" si="171"/>
        <v>229.82567274950998</v>
      </c>
      <c r="AO177" s="4">
        <f t="shared" si="172"/>
        <v>3426.5075104538992</v>
      </c>
      <c r="AP177" s="4">
        <f t="shared" si="173"/>
        <v>13844.745050932073</v>
      </c>
      <c r="AQ177" s="4">
        <f t="shared" si="174"/>
        <v>4.0335291565724019E-3</v>
      </c>
      <c r="AR177" s="4">
        <f t="shared" si="175"/>
        <v>-0.11072311726769157</v>
      </c>
      <c r="AS177" s="4">
        <f t="shared" si="176"/>
        <v>2.9349116551558767E-3</v>
      </c>
      <c r="AT177" s="4">
        <f t="shared" si="177"/>
        <v>0.95768151468089635</v>
      </c>
      <c r="AU177" s="4">
        <f t="shared" si="178"/>
        <v>0.48596618740406544</v>
      </c>
      <c r="AV177" s="4">
        <f t="shared" si="179"/>
        <v>-3.9624600573475869E-3</v>
      </c>
      <c r="AW177" s="4">
        <f t="shared" si="180"/>
        <v>-5.1766447626777925</v>
      </c>
      <c r="AX177" s="4">
        <f t="shared" si="181"/>
        <v>-1.895342143041375</v>
      </c>
      <c r="AY177" s="4">
        <f t="shared" si="182"/>
        <v>4.6588027582202178</v>
      </c>
      <c r="AZ177" s="4">
        <f t="shared" si="183"/>
        <v>36.038177222860938</v>
      </c>
      <c r="BA177" s="4">
        <f t="shared" si="184"/>
        <v>-0.1526128367630856</v>
      </c>
      <c r="BB177" s="4">
        <f t="shared" si="185"/>
        <v>-4.9718455589038602</v>
      </c>
      <c r="BC177" s="4">
        <f t="shared" si="186"/>
        <v>-2.9753106335398196</v>
      </c>
      <c r="BD177" s="4">
        <f t="shared" si="187"/>
        <v>10.858088055589743</v>
      </c>
      <c r="BE177" s="4">
        <f t="shared" si="188"/>
        <v>32.886855810661984</v>
      </c>
      <c r="BF177" s="4">
        <f t="shared" si="189"/>
        <v>-24.899504625087673</v>
      </c>
      <c r="BG177" s="4">
        <f t="shared" si="190"/>
        <v>-2.2990566631748104</v>
      </c>
      <c r="BH177" s="4">
        <f t="shared" si="191"/>
        <v>-41.678038833318851</v>
      </c>
      <c r="BI177" s="4">
        <f t="shared" si="192"/>
        <v>-5.7616274375725096</v>
      </c>
      <c r="BJ177" s="4">
        <f t="shared" si="193"/>
        <v>-162.9232497761902</v>
      </c>
      <c r="BK177" s="4">
        <f t="shared" si="194"/>
        <v>0.15849683436200457</v>
      </c>
      <c r="BL177" s="4">
        <f t="shared" si="195"/>
        <v>6.2856969508639846</v>
      </c>
      <c r="BM177" s="4">
        <f t="shared" si="196"/>
        <v>15.600846872487706</v>
      </c>
      <c r="BN177" s="4">
        <f t="shared" si="197"/>
        <v>-9.1883232231604097</v>
      </c>
      <c r="BO177" s="4">
        <f t="shared" si="198"/>
        <v>-101.37753238006056</v>
      </c>
      <c r="BP177" s="4">
        <f t="shared" si="199"/>
        <v>-70.313936218057577</v>
      </c>
      <c r="BQ177" s="4">
        <f t="shared" si="200"/>
        <v>-7.5149940979387884</v>
      </c>
      <c r="BR177" s="4">
        <f t="shared" si="201"/>
        <v>45.812061263978627</v>
      </c>
      <c r="BS177" s="4">
        <f t="shared" si="202"/>
        <v>426.74610146488402</v>
      </c>
      <c r="BT177" s="4">
        <f t="shared" si="203"/>
        <v>1914.6947714508069</v>
      </c>
      <c r="BU177" s="4">
        <f t="shared" si="204"/>
        <v>1.8254469467879058</v>
      </c>
      <c r="BV177" s="4">
        <f t="shared" si="205"/>
        <v>31.807835663689954</v>
      </c>
      <c r="BW177" s="4">
        <f t="shared" si="206"/>
        <v>-183.52704382237758</v>
      </c>
      <c r="BX177" s="4">
        <f t="shared" si="207"/>
        <v>-1142.8600043184542</v>
      </c>
      <c r="BY177" s="4">
        <f t="shared" si="208"/>
        <v>-3697.6133731034611</v>
      </c>
      <c r="BZ177" s="6">
        <f t="shared" si="209"/>
        <v>-1.5600186729620873</v>
      </c>
      <c r="CA177" s="7"/>
      <c r="CB177" s="6">
        <v>-1.5600167696120479</v>
      </c>
      <c r="CC177" s="6"/>
    </row>
    <row r="178" spans="1:81" x14ac:dyDescent="0.3">
      <c r="A178" s="4">
        <v>176</v>
      </c>
      <c r="B178" s="4">
        <v>46193733</v>
      </c>
      <c r="C178" s="4">
        <v>4.665</v>
      </c>
      <c r="D178" s="4">
        <v>4.508</v>
      </c>
      <c r="E178" s="4">
        <v>1</v>
      </c>
      <c r="F178" s="4">
        <v>3.1589999999999998</v>
      </c>
      <c r="H178" s="6">
        <v>-2618.81325553337</v>
      </c>
      <c r="I178" s="4">
        <f t="shared" si="140"/>
        <v>216.5157217965</v>
      </c>
      <c r="J178" s="4">
        <f t="shared" si="141"/>
        <v>-2218.5142005880002</v>
      </c>
      <c r="K178" s="4">
        <f t="shared" si="142"/>
        <v>2368.8265999999999</v>
      </c>
      <c r="L178" s="4">
        <f t="shared" si="143"/>
        <v>10208.327833079999</v>
      </c>
      <c r="M178" s="4">
        <f t="shared" si="144"/>
        <v>84.086208533524513</v>
      </c>
      <c r="N178" s="4">
        <f t="shared" si="145"/>
        <v>53.199414719711392</v>
      </c>
      <c r="O178" s="4">
        <f t="shared" si="146"/>
        <v>-321.09245382</v>
      </c>
      <c r="P178" s="4">
        <f t="shared" si="147"/>
        <v>-565.04295226606496</v>
      </c>
      <c r="Q178" s="4">
        <f t="shared" si="148"/>
        <v>-243.88422637628003</v>
      </c>
      <c r="R178" s="4">
        <f t="shared" si="149"/>
        <v>815.75228968799991</v>
      </c>
      <c r="S178" s="4">
        <f t="shared" si="150"/>
        <v>6025.332822651324</v>
      </c>
      <c r="T178" s="4">
        <f t="shared" si="151"/>
        <v>-415.07072599999998</v>
      </c>
      <c r="U178" s="4">
        <f t="shared" si="152"/>
        <v>-6494.9523642900003</v>
      </c>
      <c r="V178" s="4">
        <f t="shared" si="153"/>
        <v>-14836.174110353697</v>
      </c>
      <c r="W178" s="4">
        <f t="shared" si="154"/>
        <v>-3.673729914270385</v>
      </c>
      <c r="X178" s="4">
        <f t="shared" si="155"/>
        <v>13.017262615409866</v>
      </c>
      <c r="Y178" s="4">
        <f t="shared" si="156"/>
        <v>12.943897117153876</v>
      </c>
      <c r="Z178" s="4">
        <f t="shared" si="157"/>
        <v>-180.30047476196171</v>
      </c>
      <c r="AA178" s="4">
        <f t="shared" si="158"/>
        <v>22.02620200145428</v>
      </c>
      <c r="AB178" s="4">
        <f t="shared" si="159"/>
        <v>-226.61282942360998</v>
      </c>
      <c r="AC178" s="4">
        <f t="shared" si="160"/>
        <v>2.3056889357252497</v>
      </c>
      <c r="AD178" s="4">
        <f t="shared" si="161"/>
        <v>382.754452743</v>
      </c>
      <c r="AE178" s="4">
        <f t="shared" si="162"/>
        <v>293.38361108275052</v>
      </c>
      <c r="AF178" s="4">
        <f t="shared" si="163"/>
        <v>556.11011103694022</v>
      </c>
      <c r="AG178" s="4">
        <f t="shared" si="164"/>
        <v>-39.660318524595731</v>
      </c>
      <c r="AH178" s="4">
        <f t="shared" si="165"/>
        <v>321.11514775117121</v>
      </c>
      <c r="AI178" s="4">
        <f t="shared" si="166"/>
        <v>309.44788091367502</v>
      </c>
      <c r="AJ178" s="4">
        <f t="shared" si="167"/>
        <v>-66.276295030399993</v>
      </c>
      <c r="AK178" s="4">
        <f t="shared" si="168"/>
        <v>-1768.1344224092636</v>
      </c>
      <c r="AL178" s="4">
        <f t="shared" si="169"/>
        <v>-5245.9687957212109</v>
      </c>
      <c r="AM178" s="4">
        <f t="shared" si="170"/>
        <v>-301.01918799999999</v>
      </c>
      <c r="AN178" s="4">
        <f t="shared" si="171"/>
        <v>1021.5383743889998</v>
      </c>
      <c r="AO178" s="4">
        <f t="shared" si="172"/>
        <v>5965.4610197952115</v>
      </c>
      <c r="AP178" s="4">
        <f t="shared" si="173"/>
        <v>9440.901475594268</v>
      </c>
      <c r="AQ178" s="4">
        <f t="shared" si="174"/>
        <v>3.4950626305710747E-2</v>
      </c>
      <c r="AR178" s="4">
        <f t="shared" si="175"/>
        <v>-0.6272367948937656</v>
      </c>
      <c r="AS178" s="4">
        <f t="shared" si="176"/>
        <v>3.3309057437810909E-2</v>
      </c>
      <c r="AT178" s="4">
        <f t="shared" si="177"/>
        <v>4.2572052959226694</v>
      </c>
      <c r="AU178" s="4">
        <f t="shared" si="178"/>
        <v>1.7997937373485788</v>
      </c>
      <c r="AV178" s="4">
        <f t="shared" si="179"/>
        <v>-2.9400564469766789E-2</v>
      </c>
      <c r="AW178" s="4">
        <f t="shared" si="180"/>
        <v>-15.044415284011828</v>
      </c>
      <c r="AX178" s="4">
        <f t="shared" si="181"/>
        <v>-28.174257419867999</v>
      </c>
      <c r="AY178" s="4">
        <f t="shared" si="182"/>
        <v>27.125350679667175</v>
      </c>
      <c r="AZ178" s="4">
        <f t="shared" si="183"/>
        <v>82.186414244031411</v>
      </c>
      <c r="BA178" s="4">
        <f t="shared" si="184"/>
        <v>-0.36951426520688935</v>
      </c>
      <c r="BB178" s="4">
        <f t="shared" si="185"/>
        <v>-24.117476360566037</v>
      </c>
      <c r="BC178" s="4">
        <f t="shared" si="186"/>
        <v>-5.6530486737449195</v>
      </c>
      <c r="BD178" s="4">
        <f t="shared" si="187"/>
        <v>105.52167564722281</v>
      </c>
      <c r="BE178" s="4">
        <f t="shared" si="188"/>
        <v>125.18343158667959</v>
      </c>
      <c r="BF178" s="4">
        <f t="shared" si="189"/>
        <v>-37.123711051416109</v>
      </c>
      <c r="BG178" s="4">
        <f t="shared" si="190"/>
        <v>-44.762267957549994</v>
      </c>
      <c r="BH178" s="4">
        <f t="shared" si="191"/>
        <v>-317.83803061338898</v>
      </c>
      <c r="BI178" s="4">
        <f t="shared" si="192"/>
        <v>-17.209963008799402</v>
      </c>
      <c r="BJ178" s="4">
        <f t="shared" si="193"/>
        <v>-190.61365431843925</v>
      </c>
      <c r="BK178" s="4">
        <f t="shared" si="194"/>
        <v>0.25089048858836216</v>
      </c>
      <c r="BL178" s="4">
        <f t="shared" si="195"/>
        <v>19.9338474944017</v>
      </c>
      <c r="BM178" s="4">
        <f t="shared" si="196"/>
        <v>19.378584242001022</v>
      </c>
      <c r="BN178" s="4">
        <f t="shared" si="197"/>
        <v>-58.377843054867846</v>
      </c>
      <c r="BO178" s="4">
        <f t="shared" si="198"/>
        <v>-252.28398064163167</v>
      </c>
      <c r="BP178" s="4">
        <f t="shared" si="199"/>
        <v>-68.537072217827301</v>
      </c>
      <c r="BQ178" s="4">
        <f t="shared" si="200"/>
        <v>-95.656505674800002</v>
      </c>
      <c r="BR178" s="4">
        <f t="shared" si="201"/>
        <v>228.40303980508563</v>
      </c>
      <c r="BS178" s="4">
        <f t="shared" si="202"/>
        <v>833.3506675740656</v>
      </c>
      <c r="BT178" s="4">
        <f t="shared" si="203"/>
        <v>1464.5154418292423</v>
      </c>
      <c r="BU178" s="4">
        <f t="shared" si="204"/>
        <v>46.551016799999999</v>
      </c>
      <c r="BV178" s="4">
        <f t="shared" si="205"/>
        <v>317.70953837999997</v>
      </c>
      <c r="BW178" s="4">
        <f t="shared" si="206"/>
        <v>-718.01312394417823</v>
      </c>
      <c r="BX178" s="4">
        <f t="shared" si="207"/>
        <v>-1751.3039454782397</v>
      </c>
      <c r="BY178" s="4">
        <f t="shared" si="208"/>
        <v>-2219.3518989396725</v>
      </c>
      <c r="BZ178" s="6">
        <f t="shared" si="209"/>
        <v>-0.99651734348071841</v>
      </c>
      <c r="CA178" s="7"/>
      <c r="CB178" s="6">
        <v>-0.9965194865058038</v>
      </c>
      <c r="CC178" s="6"/>
    </row>
    <row r="179" spans="1:81" x14ac:dyDescent="0.3">
      <c r="A179" s="4">
        <v>177</v>
      </c>
      <c r="B179" s="4">
        <v>10144</v>
      </c>
      <c r="C179" s="4">
        <v>2.11</v>
      </c>
      <c r="D179" s="4">
        <v>3.1469999999999998</v>
      </c>
      <c r="E179" s="4">
        <v>0.41699999999999998</v>
      </c>
      <c r="F179" s="4">
        <v>3.6440000000000001</v>
      </c>
      <c r="H179" s="6">
        <v>-2618.81325553337</v>
      </c>
      <c r="I179" s="4">
        <f t="shared" si="140"/>
        <v>97.931012430999999</v>
      </c>
      <c r="J179" s="4">
        <f t="shared" si="141"/>
        <v>-1548.7276373669999</v>
      </c>
      <c r="K179" s="4">
        <f t="shared" si="142"/>
        <v>987.80069219999996</v>
      </c>
      <c r="L179" s="4">
        <f t="shared" si="143"/>
        <v>11775.608301280001</v>
      </c>
      <c r="M179" s="4">
        <f t="shared" si="144"/>
        <v>17.202294756722001</v>
      </c>
      <c r="N179" s="4">
        <f t="shared" si="145"/>
        <v>16.797726164055895</v>
      </c>
      <c r="O179" s="4">
        <f t="shared" si="146"/>
        <v>-60.56154712595999</v>
      </c>
      <c r="P179" s="4">
        <f t="shared" si="147"/>
        <v>-294.80918623435997</v>
      </c>
      <c r="Q179" s="4">
        <f t="shared" si="148"/>
        <v>-118.85279070561749</v>
      </c>
      <c r="R179" s="4">
        <f t="shared" si="149"/>
        <v>237.46914685121396</v>
      </c>
      <c r="S179" s="4">
        <f t="shared" si="150"/>
        <v>4852.0204101061563</v>
      </c>
      <c r="T179" s="4">
        <f t="shared" si="151"/>
        <v>-72.176233473413987</v>
      </c>
      <c r="U179" s="4">
        <f t="shared" si="152"/>
        <v>-3124.2139522798807</v>
      </c>
      <c r="V179" s="4">
        <f t="shared" si="153"/>
        <v>-19741.466270107201</v>
      </c>
      <c r="W179" s="4">
        <f t="shared" si="154"/>
        <v>-0.33993794624872498</v>
      </c>
      <c r="X179" s="4">
        <f t="shared" si="155"/>
        <v>1.8590630390645162</v>
      </c>
      <c r="Y179" s="4">
        <f t="shared" si="156"/>
        <v>1.1042380848535513</v>
      </c>
      <c r="Z179" s="4">
        <f t="shared" si="157"/>
        <v>-42.548791270356844</v>
      </c>
      <c r="AA179" s="4">
        <f t="shared" si="158"/>
        <v>4.8550767096124847</v>
      </c>
      <c r="AB179" s="4">
        <f t="shared" si="159"/>
        <v>-29.837620850674085</v>
      </c>
      <c r="AC179" s="4">
        <f t="shared" si="160"/>
        <v>0.83979464436912787</v>
      </c>
      <c r="AD179" s="4">
        <f t="shared" si="161"/>
        <v>30.10392815856121</v>
      </c>
      <c r="AE179" s="4">
        <f t="shared" si="162"/>
        <v>63.830971490430926</v>
      </c>
      <c r="AF179" s="4">
        <f t="shared" si="163"/>
        <v>334.69489124620958</v>
      </c>
      <c r="AG179" s="4">
        <f t="shared" si="164"/>
        <v>-13.492570763552758</v>
      </c>
      <c r="AH179" s="4">
        <f t="shared" si="165"/>
        <v>65.256310956707622</v>
      </c>
      <c r="AI179" s="4">
        <f t="shared" si="166"/>
        <v>173.95700685396326</v>
      </c>
      <c r="AJ179" s="4">
        <f t="shared" si="167"/>
        <v>-8.0453171347837689</v>
      </c>
      <c r="AK179" s="4">
        <f t="shared" si="168"/>
        <v>-593.73535713717058</v>
      </c>
      <c r="AL179" s="4">
        <f t="shared" si="169"/>
        <v>-4872.9956455952515</v>
      </c>
      <c r="AM179" s="4">
        <f t="shared" si="170"/>
        <v>-21.827416967749041</v>
      </c>
      <c r="AN179" s="4">
        <f t="shared" si="171"/>
        <v>204.90640695909002</v>
      </c>
      <c r="AO179" s="4">
        <f t="shared" si="172"/>
        <v>3310.0728493428669</v>
      </c>
      <c r="AP179" s="4">
        <f t="shared" si="173"/>
        <v>14491.044582550709</v>
      </c>
      <c r="AQ179" s="4">
        <f t="shared" si="174"/>
        <v>1.4627772302759909E-3</v>
      </c>
      <c r="AR179" s="4">
        <f t="shared" si="175"/>
        <v>-4.051695360753637E-2</v>
      </c>
      <c r="AS179" s="4">
        <f t="shared" si="176"/>
        <v>1.2852594923274271E-3</v>
      </c>
      <c r="AT179" s="4">
        <f t="shared" si="177"/>
        <v>0.45440777934684423</v>
      </c>
      <c r="AU179" s="4">
        <f t="shared" si="178"/>
        <v>0.17943618280114382</v>
      </c>
      <c r="AV179" s="4">
        <f t="shared" si="179"/>
        <v>-1.7509194761759453E-3</v>
      </c>
      <c r="AW179" s="4">
        <f t="shared" si="180"/>
        <v>-2.4784405470391402</v>
      </c>
      <c r="AX179" s="4">
        <f t="shared" si="181"/>
        <v>-1.0022733958496</v>
      </c>
      <c r="AY179" s="4">
        <f t="shared" si="182"/>
        <v>2.6693269629413505</v>
      </c>
      <c r="AZ179" s="4">
        <f t="shared" si="183"/>
        <v>22.372737754353256</v>
      </c>
      <c r="BA179" s="4">
        <f t="shared" si="184"/>
        <v>-5.6859170936503105E-2</v>
      </c>
      <c r="BB179" s="4">
        <f t="shared" si="185"/>
        <v>-2.2167891889868048</v>
      </c>
      <c r="BC179" s="4">
        <f t="shared" si="186"/>
        <v>-1.4373679124587628</v>
      </c>
      <c r="BD179" s="4">
        <f t="shared" si="187"/>
        <v>5.7937190532267007</v>
      </c>
      <c r="BE179" s="4">
        <f t="shared" si="188"/>
        <v>19.013203328003073</v>
      </c>
      <c r="BF179" s="4">
        <f t="shared" si="189"/>
        <v>-15.597410823303335</v>
      </c>
      <c r="BG179" s="4">
        <f t="shared" si="190"/>
        <v>-1.468084504768336</v>
      </c>
      <c r="BH179" s="4">
        <f t="shared" si="191"/>
        <v>-28.836166245421783</v>
      </c>
      <c r="BI179" s="4">
        <f t="shared" si="192"/>
        <v>-4.3192096407178857</v>
      </c>
      <c r="BJ179" s="4">
        <f t="shared" si="193"/>
        <v>-132.33387870179595</v>
      </c>
      <c r="BK179" s="4">
        <f t="shared" si="194"/>
        <v>5.95848073355787E-2</v>
      </c>
      <c r="BL179" s="4">
        <f t="shared" si="195"/>
        <v>2.827910711511719</v>
      </c>
      <c r="BM179" s="4">
        <f t="shared" si="196"/>
        <v>7.6048262189636029</v>
      </c>
      <c r="BN179" s="4">
        <f t="shared" si="197"/>
        <v>-4.9470445988689233</v>
      </c>
      <c r="BO179" s="4">
        <f t="shared" si="198"/>
        <v>-59.139839737656473</v>
      </c>
      <c r="BP179" s="4">
        <f t="shared" si="199"/>
        <v>-44.443546156883912</v>
      </c>
      <c r="BQ179" s="4">
        <f t="shared" si="200"/>
        <v>-4.8421196029003495</v>
      </c>
      <c r="BR179" s="4">
        <f t="shared" si="201"/>
        <v>31.982732632889086</v>
      </c>
      <c r="BS179" s="4">
        <f t="shared" si="202"/>
        <v>322.80047340005939</v>
      </c>
      <c r="BT179" s="4">
        <f t="shared" si="203"/>
        <v>1569.2531820483973</v>
      </c>
      <c r="BU179" s="4">
        <f t="shared" si="204"/>
        <v>1.4075809855149275</v>
      </c>
      <c r="BV179" s="4">
        <f t="shared" si="205"/>
        <v>26.574625982201763</v>
      </c>
      <c r="BW179" s="4">
        <f t="shared" si="206"/>
        <v>-166.13532185136722</v>
      </c>
      <c r="BX179" s="4">
        <f t="shared" si="207"/>
        <v>-1120.9437200824707</v>
      </c>
      <c r="BY179" s="4">
        <f t="shared" si="208"/>
        <v>-3929.5347952264824</v>
      </c>
      <c r="BZ179" s="6">
        <f t="shared" si="209"/>
        <v>-1.8674660437295643</v>
      </c>
      <c r="CA179" s="7"/>
      <c r="CB179" s="6">
        <v>-1.867462919374248</v>
      </c>
      <c r="CC179" s="6"/>
    </row>
    <row r="180" spans="1:81" x14ac:dyDescent="0.3">
      <c r="A180" s="4">
        <v>178</v>
      </c>
      <c r="B180" s="4">
        <v>118707123</v>
      </c>
      <c r="C180" s="4">
        <v>4.2190000000000003</v>
      </c>
      <c r="D180" s="4">
        <v>6.3090000000000002</v>
      </c>
      <c r="E180" s="4">
        <v>0.40100000000000002</v>
      </c>
      <c r="F180" s="4">
        <v>3.883</v>
      </c>
      <c r="H180" s="6">
        <v>-2618.81325553337</v>
      </c>
      <c r="I180" s="4">
        <f t="shared" si="140"/>
        <v>195.81561205990002</v>
      </c>
      <c r="J180" s="4">
        <f t="shared" si="141"/>
        <v>-3104.8371986490001</v>
      </c>
      <c r="K180" s="4">
        <f t="shared" si="142"/>
        <v>949.89946659999998</v>
      </c>
      <c r="L180" s="4">
        <f t="shared" si="143"/>
        <v>12547.938263960001</v>
      </c>
      <c r="M180" s="4">
        <f t="shared" si="144"/>
        <v>68.776571905428042</v>
      </c>
      <c r="N180" s="4">
        <f t="shared" si="145"/>
        <v>67.335075545194172</v>
      </c>
      <c r="O180" s="4">
        <f t="shared" si="146"/>
        <v>-116.448084486452</v>
      </c>
      <c r="P180" s="4">
        <f t="shared" si="147"/>
        <v>-628.14094609258302</v>
      </c>
      <c r="Q180" s="4">
        <f t="shared" si="148"/>
        <v>-477.67988383305754</v>
      </c>
      <c r="R180" s="4">
        <f t="shared" si="149"/>
        <v>457.80369553067402</v>
      </c>
      <c r="S180" s="4">
        <f t="shared" si="150"/>
        <v>10365.146047797851</v>
      </c>
      <c r="T180" s="4">
        <f t="shared" si="151"/>
        <v>-66.743787811526005</v>
      </c>
      <c r="U180" s="4">
        <f t="shared" si="152"/>
        <v>-3201.3864869407303</v>
      </c>
      <c r="V180" s="4">
        <f t="shared" si="153"/>
        <v>-22415.965557615298</v>
      </c>
      <c r="W180" s="4">
        <f t="shared" si="154"/>
        <v>-2.7175707317039475</v>
      </c>
      <c r="X180" s="4">
        <f t="shared" si="155"/>
        <v>14.90088425227345</v>
      </c>
      <c r="Y180" s="4">
        <f t="shared" si="156"/>
        <v>4.2454641661509305</v>
      </c>
      <c r="Z180" s="4">
        <f t="shared" si="157"/>
        <v>-181.27185939094312</v>
      </c>
      <c r="AA180" s="4">
        <f t="shared" si="158"/>
        <v>39.016718041617153</v>
      </c>
      <c r="AB180" s="4">
        <f t="shared" si="159"/>
        <v>-115.01735159543378</v>
      </c>
      <c r="AC180" s="4">
        <f t="shared" si="160"/>
        <v>3.5871784137120399</v>
      </c>
      <c r="AD180" s="4">
        <f t="shared" si="161"/>
        <v>55.663033965609657</v>
      </c>
      <c r="AE180" s="4">
        <f t="shared" si="162"/>
        <v>130.78437590646627</v>
      </c>
      <c r="AF180" s="4">
        <f t="shared" si="163"/>
        <v>759.89606912545696</v>
      </c>
      <c r="AG180" s="4">
        <f t="shared" si="164"/>
        <v>-108.71414582823532</v>
      </c>
      <c r="AH180" s="4">
        <f t="shared" si="165"/>
        <v>252.20773704938148</v>
      </c>
      <c r="AI180" s="4">
        <f t="shared" si="166"/>
        <v>745.00385108062028</v>
      </c>
      <c r="AJ180" s="4">
        <f t="shared" si="167"/>
        <v>-14.915011337380161</v>
      </c>
      <c r="AK180" s="4">
        <f t="shared" si="168"/>
        <v>-1219.7028439751598</v>
      </c>
      <c r="AL180" s="4">
        <f t="shared" si="169"/>
        <v>-11092.714930609111</v>
      </c>
      <c r="AM180" s="4">
        <f t="shared" si="170"/>
        <v>-19.410078766284791</v>
      </c>
      <c r="AN180" s="4">
        <f t="shared" si="171"/>
        <v>201.91156526752383</v>
      </c>
      <c r="AO180" s="4">
        <f t="shared" si="172"/>
        <v>3614.2976398035207</v>
      </c>
      <c r="AP180" s="4">
        <f t="shared" si="173"/>
        <v>17533.424973419384</v>
      </c>
      <c r="AQ180" s="4">
        <f t="shared" si="174"/>
        <v>2.3382259269357702E-2</v>
      </c>
      <c r="AR180" s="4">
        <f t="shared" si="175"/>
        <v>-0.6493543869112447</v>
      </c>
      <c r="AS180" s="4">
        <f t="shared" si="176"/>
        <v>9.8805324300109496E-3</v>
      </c>
      <c r="AT180" s="4">
        <f t="shared" si="177"/>
        <v>3.870935993694042</v>
      </c>
      <c r="AU180" s="4">
        <f t="shared" si="178"/>
        <v>2.8833126074502955</v>
      </c>
      <c r="AV180" s="4">
        <f t="shared" si="179"/>
        <v>-1.3495606783437657E-2</v>
      </c>
      <c r="AW180" s="4">
        <f t="shared" si="180"/>
        <v>-21.168274197404255</v>
      </c>
      <c r="AX180" s="4">
        <f t="shared" si="181"/>
        <v>-3.7055866930758761</v>
      </c>
      <c r="AY180" s="4">
        <f t="shared" si="182"/>
        <v>10.935867845558091</v>
      </c>
      <c r="AZ180" s="4">
        <f t="shared" si="183"/>
        <v>101.56669406805815</v>
      </c>
      <c r="BA180" s="4">
        <f t="shared" si="184"/>
        <v>-0.91604950951640873</v>
      </c>
      <c r="BB180" s="4">
        <f t="shared" si="185"/>
        <v>-17.131182886834093</v>
      </c>
      <c r="BC180" s="4">
        <f t="shared" si="186"/>
        <v>-12.308683563962953</v>
      </c>
      <c r="BD180" s="4">
        <f t="shared" si="187"/>
        <v>21.476569987630956</v>
      </c>
      <c r="BE180" s="4">
        <f t="shared" si="188"/>
        <v>78.098642852599312</v>
      </c>
      <c r="BF180" s="4">
        <f t="shared" si="189"/>
        <v>-70.993961439720593</v>
      </c>
      <c r="BG180" s="4">
        <f t="shared" si="190"/>
        <v>-2.6103760600587869</v>
      </c>
      <c r="BH180" s="4">
        <f t="shared" si="191"/>
        <v>-56.815946794712147</v>
      </c>
      <c r="BI180" s="4">
        <f t="shared" si="192"/>
        <v>-9.4301307874697233</v>
      </c>
      <c r="BJ180" s="4">
        <f t="shared" si="193"/>
        <v>-320.15860476404413</v>
      </c>
      <c r="BK180" s="4">
        <f t="shared" si="194"/>
        <v>0.96247770314006476</v>
      </c>
      <c r="BL180" s="4">
        <f t="shared" si="195"/>
        <v>21.911159690615673</v>
      </c>
      <c r="BM180" s="4">
        <f t="shared" si="196"/>
        <v>65.293458021704112</v>
      </c>
      <c r="BN180" s="4">
        <f t="shared" si="197"/>
        <v>-18.386117445143249</v>
      </c>
      <c r="BO180" s="4">
        <f t="shared" si="198"/>
        <v>-243.55948786010575</v>
      </c>
      <c r="BP180" s="4">
        <f t="shared" si="199"/>
        <v>-202.82165283356079</v>
      </c>
      <c r="BQ180" s="4">
        <f t="shared" si="200"/>
        <v>-8.6322547791444588</v>
      </c>
      <c r="BR180" s="4">
        <f t="shared" si="201"/>
        <v>63.180783830981291</v>
      </c>
      <c r="BS180" s="4">
        <f t="shared" si="202"/>
        <v>706.61737093611043</v>
      </c>
      <c r="BT180" s="4">
        <f t="shared" si="203"/>
        <v>3806.4827777667233</v>
      </c>
      <c r="BU180" s="4">
        <f t="shared" si="204"/>
        <v>1.2036678538851062</v>
      </c>
      <c r="BV180" s="4">
        <f t="shared" si="205"/>
        <v>25.181473308305137</v>
      </c>
      <c r="BW180" s="4">
        <f t="shared" si="206"/>
        <v>-174.44424921624955</v>
      </c>
      <c r="BX180" s="4">
        <f t="shared" si="207"/>
        <v>-1304.2450365193599</v>
      </c>
      <c r="BY180" s="4">
        <f t="shared" si="208"/>
        <v>-5066.3737832000406</v>
      </c>
      <c r="BZ180" s="6">
        <f t="shared" si="209"/>
        <v>-1.4905425914494117</v>
      </c>
      <c r="CA180" s="7"/>
      <c r="CB180" s="6">
        <v>-1.4905456604124081</v>
      </c>
      <c r="CC180" s="6"/>
    </row>
    <row r="181" spans="1:81" x14ac:dyDescent="0.3">
      <c r="A181" s="4">
        <v>179</v>
      </c>
      <c r="B181" s="4">
        <v>72735410</v>
      </c>
      <c r="C181" s="4">
        <v>3.173</v>
      </c>
      <c r="D181" s="4">
        <v>4.274</v>
      </c>
      <c r="E181" s="4">
        <v>0.52200000000000002</v>
      </c>
      <c r="F181" s="4">
        <v>3.8210000000000002</v>
      </c>
      <c r="H181" s="6">
        <v>-2618.81325553337</v>
      </c>
      <c r="I181" s="4">
        <f t="shared" si="140"/>
        <v>147.2678210633</v>
      </c>
      <c r="J181" s="4">
        <f t="shared" si="141"/>
        <v>-2103.3561875139999</v>
      </c>
      <c r="K181" s="4">
        <f t="shared" si="142"/>
        <v>1236.5274852</v>
      </c>
      <c r="L181" s="4">
        <f t="shared" si="143"/>
        <v>12347.58488452</v>
      </c>
      <c r="M181" s="4">
        <f t="shared" si="144"/>
        <v>38.901076401641781</v>
      </c>
      <c r="N181" s="4">
        <f t="shared" si="145"/>
        <v>34.306458599204532</v>
      </c>
      <c r="O181" s="4">
        <f t="shared" si="146"/>
        <v>-114.003720861048</v>
      </c>
      <c r="P181" s="4">
        <f t="shared" si="147"/>
        <v>-464.86548069780702</v>
      </c>
      <c r="Q181" s="4">
        <f t="shared" si="148"/>
        <v>-219.22240272527</v>
      </c>
      <c r="R181" s="4">
        <f t="shared" si="149"/>
        <v>403.719210150408</v>
      </c>
      <c r="S181" s="4">
        <f t="shared" si="150"/>
        <v>6909.6979546761186</v>
      </c>
      <c r="T181" s="4">
        <f t="shared" si="151"/>
        <v>-113.10013170338399</v>
      </c>
      <c r="U181" s="4">
        <f t="shared" si="152"/>
        <v>-4100.8500087442208</v>
      </c>
      <c r="V181" s="4">
        <f t="shared" si="153"/>
        <v>-21705.847374605699</v>
      </c>
      <c r="W181" s="4">
        <f t="shared" si="154"/>
        <v>-1.1560124109136112</v>
      </c>
      <c r="X181" s="4">
        <f t="shared" si="155"/>
        <v>5.7096189486634561</v>
      </c>
      <c r="Y181" s="4">
        <f t="shared" si="156"/>
        <v>3.1258807312624866</v>
      </c>
      <c r="Z181" s="4">
        <f t="shared" si="157"/>
        <v>-100.89302192389067</v>
      </c>
      <c r="AA181" s="4">
        <f t="shared" si="158"/>
        <v>13.466640382291848</v>
      </c>
      <c r="AB181" s="4">
        <f t="shared" si="159"/>
        <v>-76.282344214323473</v>
      </c>
      <c r="AC181" s="4">
        <f t="shared" si="160"/>
        <v>1.7984450041846745</v>
      </c>
      <c r="AD181" s="4">
        <f t="shared" si="161"/>
        <v>70.938121163511795</v>
      </c>
      <c r="AE181" s="4">
        <f t="shared" si="162"/>
        <v>125.99467439881346</v>
      </c>
      <c r="AF181" s="4">
        <f t="shared" si="163"/>
        <v>553.39348116064275</v>
      </c>
      <c r="AG181" s="4">
        <f t="shared" si="164"/>
        <v>-33.799325159666424</v>
      </c>
      <c r="AH181" s="4">
        <f t="shared" si="165"/>
        <v>150.6719873607729</v>
      </c>
      <c r="AI181" s="4">
        <f t="shared" si="166"/>
        <v>336.44660143457929</v>
      </c>
      <c r="AJ181" s="4">
        <f t="shared" si="167"/>
        <v>-17.121816529152941</v>
      </c>
      <c r="AK181" s="4">
        <f t="shared" si="168"/>
        <v>-1058.4340540871758</v>
      </c>
      <c r="AL181" s="4">
        <f t="shared" si="169"/>
        <v>-7276.6441478790648</v>
      </c>
      <c r="AM181" s="4">
        <f t="shared" si="170"/>
        <v>-42.815960284801825</v>
      </c>
      <c r="AN181" s="4">
        <f t="shared" si="171"/>
        <v>336.68448472845643</v>
      </c>
      <c r="AO181" s="4">
        <f t="shared" si="172"/>
        <v>4555.8491836095236</v>
      </c>
      <c r="AP181" s="4">
        <f t="shared" si="173"/>
        <v>16706.893368795416</v>
      </c>
      <c r="AQ181" s="4">
        <f t="shared" si="174"/>
        <v>7.4804660917412993E-3</v>
      </c>
      <c r="AR181" s="4">
        <f t="shared" si="175"/>
        <v>-0.18712741122003912</v>
      </c>
      <c r="AS181" s="4">
        <f t="shared" si="176"/>
        <v>5.4712696386202781E-3</v>
      </c>
      <c r="AT181" s="4">
        <f t="shared" si="177"/>
        <v>1.6203441950001123</v>
      </c>
      <c r="AU181" s="4">
        <f t="shared" si="178"/>
        <v>0.74844657482931554</v>
      </c>
      <c r="AV181" s="4">
        <f t="shared" si="179"/>
        <v>-6.7315275897725747E-3</v>
      </c>
      <c r="AW181" s="4">
        <f t="shared" si="180"/>
        <v>-7.9816041201419976</v>
      </c>
      <c r="AX181" s="4">
        <f t="shared" si="181"/>
        <v>-3.5516513984627824</v>
      </c>
      <c r="AY181" s="4">
        <f t="shared" si="182"/>
        <v>7.923373421575727</v>
      </c>
      <c r="AZ181" s="4">
        <f t="shared" si="183"/>
        <v>55.627776923410323</v>
      </c>
      <c r="BA181" s="4">
        <f t="shared" si="184"/>
        <v>-0.21419112135281837</v>
      </c>
      <c r="BB181" s="4">
        <f t="shared" si="185"/>
        <v>-7.6970092669887382</v>
      </c>
      <c r="BC181" s="4">
        <f t="shared" si="186"/>
        <v>-4.1805149565339796</v>
      </c>
      <c r="BD181" s="4">
        <f t="shared" si="187"/>
        <v>18.541792624131588</v>
      </c>
      <c r="BE181" s="4">
        <f t="shared" si="188"/>
        <v>50.969902369798945</v>
      </c>
      <c r="BF181" s="4">
        <f t="shared" si="189"/>
        <v>-35.02476594461195</v>
      </c>
      <c r="BG181" s="4">
        <f t="shared" si="190"/>
        <v>-4.3305396141542953</v>
      </c>
      <c r="BH181" s="4">
        <f t="shared" si="191"/>
        <v>-71.251285285265013</v>
      </c>
      <c r="BI181" s="4">
        <f t="shared" si="192"/>
        <v>-8.9397152845407248</v>
      </c>
      <c r="BJ181" s="4">
        <f t="shared" si="193"/>
        <v>-229.43235704171468</v>
      </c>
      <c r="BK181" s="4">
        <f t="shared" si="194"/>
        <v>0.2027153516401406</v>
      </c>
      <c r="BL181" s="4">
        <f t="shared" si="195"/>
        <v>8.8677505049374812</v>
      </c>
      <c r="BM181" s="4">
        <f t="shared" si="196"/>
        <v>19.975666944755268</v>
      </c>
      <c r="BN181" s="4">
        <f t="shared" si="197"/>
        <v>-14.298493146433758</v>
      </c>
      <c r="BO181" s="4">
        <f t="shared" si="198"/>
        <v>-143.18212729149079</v>
      </c>
      <c r="BP181" s="4">
        <f t="shared" si="199"/>
        <v>-90.132536410386479</v>
      </c>
      <c r="BQ181" s="4">
        <f t="shared" si="200"/>
        <v>-12.899611522934361</v>
      </c>
      <c r="BR181" s="4">
        <f t="shared" si="201"/>
        <v>71.370856374099972</v>
      </c>
      <c r="BS181" s="4">
        <f t="shared" si="202"/>
        <v>603.39780317262398</v>
      </c>
      <c r="BT181" s="4">
        <f t="shared" si="203"/>
        <v>2457.1224561018453</v>
      </c>
      <c r="BU181" s="4">
        <f t="shared" si="204"/>
        <v>3.4562980283055644</v>
      </c>
      <c r="BV181" s="4">
        <f t="shared" si="205"/>
        <v>54.65994298421883</v>
      </c>
      <c r="BW181" s="4">
        <f t="shared" si="206"/>
        <v>-286.2386085006296</v>
      </c>
      <c r="BX181" s="4">
        <f t="shared" si="207"/>
        <v>-1617.7606384545463</v>
      </c>
      <c r="BY181" s="4">
        <f t="shared" si="208"/>
        <v>-4750.4616482386245</v>
      </c>
      <c r="BZ181" s="6">
        <f t="shared" si="209"/>
        <v>-1.5009457757132623</v>
      </c>
      <c r="CA181" s="7"/>
      <c r="CB181" s="6">
        <v>-1.5009455601098129</v>
      </c>
      <c r="CC181" s="6"/>
    </row>
    <row r="182" spans="1:81" x14ac:dyDescent="0.3">
      <c r="A182" s="4">
        <v>180</v>
      </c>
      <c r="B182" s="4">
        <v>22772874</v>
      </c>
      <c r="C182" s="4">
        <v>3.1150000000000002</v>
      </c>
      <c r="D182" s="4">
        <v>3.508</v>
      </c>
      <c r="E182" s="4">
        <v>0.375</v>
      </c>
      <c r="F182" s="4">
        <v>3.49</v>
      </c>
      <c r="H182" s="6">
        <v>-2618.81325553337</v>
      </c>
      <c r="I182" s="4">
        <f t="shared" si="140"/>
        <v>144.5758785415</v>
      </c>
      <c r="J182" s="4">
        <f t="shared" si="141"/>
        <v>-1726.3859395879999</v>
      </c>
      <c r="K182" s="4">
        <f t="shared" si="142"/>
        <v>888.30997499999989</v>
      </c>
      <c r="L182" s="4">
        <f t="shared" si="143"/>
        <v>11277.9563588</v>
      </c>
      <c r="M182" s="4">
        <f t="shared" si="144"/>
        <v>37.491910905144508</v>
      </c>
      <c r="N182" s="4">
        <f t="shared" si="145"/>
        <v>27.643239380863399</v>
      </c>
      <c r="O182" s="4">
        <f t="shared" si="146"/>
        <v>-80.402169907499996</v>
      </c>
      <c r="P182" s="4">
        <f t="shared" si="147"/>
        <v>-416.83450907665002</v>
      </c>
      <c r="Q182" s="4">
        <f t="shared" si="148"/>
        <v>-147.68455105627999</v>
      </c>
      <c r="R182" s="4">
        <f t="shared" si="149"/>
        <v>238.048388883</v>
      </c>
      <c r="S182" s="4">
        <f t="shared" si="150"/>
        <v>5180.0329168316403</v>
      </c>
      <c r="T182" s="4">
        <f t="shared" si="151"/>
        <v>-58.369320843749996</v>
      </c>
      <c r="U182" s="4">
        <f t="shared" si="152"/>
        <v>-2690.8100369625004</v>
      </c>
      <c r="V182" s="4">
        <f t="shared" si="153"/>
        <v>-18108.12665577</v>
      </c>
      <c r="W182" s="4">
        <f t="shared" si="154"/>
        <v>-1.0937710729399783</v>
      </c>
      <c r="X182" s="4">
        <f t="shared" si="155"/>
        <v>4.516563803639813</v>
      </c>
      <c r="Y182" s="4">
        <f t="shared" si="156"/>
        <v>2.1642584703183285</v>
      </c>
      <c r="Z182" s="4">
        <f t="shared" si="157"/>
        <v>-88.81482761081952</v>
      </c>
      <c r="AA182" s="4">
        <f t="shared" si="158"/>
        <v>8.906301138787601</v>
      </c>
      <c r="AB182" s="4">
        <f t="shared" si="159"/>
        <v>-44.156825245653756</v>
      </c>
      <c r="AC182" s="4">
        <f t="shared" si="160"/>
        <v>1.3236056026896776</v>
      </c>
      <c r="AD182" s="4">
        <f t="shared" si="161"/>
        <v>35.94092002495313</v>
      </c>
      <c r="AE182" s="4">
        <f t="shared" si="162"/>
        <v>81.161361056514394</v>
      </c>
      <c r="AF182" s="4">
        <f t="shared" si="163"/>
        <v>453.23015405390845</v>
      </c>
      <c r="AG182" s="4">
        <f t="shared" si="164"/>
        <v>-18.688878035051211</v>
      </c>
      <c r="AH182" s="4">
        <f t="shared" si="165"/>
        <v>72.919455171889197</v>
      </c>
      <c r="AI182" s="4">
        <f t="shared" si="166"/>
        <v>207.02112709316299</v>
      </c>
      <c r="AJ182" s="4">
        <f t="shared" si="167"/>
        <v>-7.2526452511499997</v>
      </c>
      <c r="AK182" s="4">
        <f t="shared" si="168"/>
        <v>-570.03041029313999</v>
      </c>
      <c r="AL182" s="4">
        <f t="shared" si="169"/>
        <v>-4982.5651079449308</v>
      </c>
      <c r="AM182" s="4">
        <f t="shared" si="170"/>
        <v>-15.874058742187499</v>
      </c>
      <c r="AN182" s="4">
        <f t="shared" si="171"/>
        <v>158.70588170484376</v>
      </c>
      <c r="AO182" s="4">
        <f t="shared" si="172"/>
        <v>2730.4038149344506</v>
      </c>
      <c r="AP182" s="4">
        <f t="shared" si="173"/>
        <v>12730.365375438636</v>
      </c>
      <c r="AQ182" s="4">
        <f t="shared" si="174"/>
        <v>6.9483322053687322E-3</v>
      </c>
      <c r="AR182" s="4">
        <f t="shared" si="175"/>
        <v>-0.14532034258405818</v>
      </c>
      <c r="AS182" s="4">
        <f t="shared" si="176"/>
        <v>3.7188856090291911E-3</v>
      </c>
      <c r="AT182" s="4">
        <f t="shared" si="177"/>
        <v>1.4002952109977085</v>
      </c>
      <c r="AU182" s="4">
        <f t="shared" si="178"/>
        <v>0.48594475252249314</v>
      </c>
      <c r="AV182" s="4">
        <f t="shared" si="179"/>
        <v>-3.8253873686987057E-3</v>
      </c>
      <c r="AW182" s="4">
        <f t="shared" si="180"/>
        <v>-5.7668625096002932</v>
      </c>
      <c r="AX182" s="4">
        <f t="shared" si="181"/>
        <v>-1.7665576694364378</v>
      </c>
      <c r="AY182" s="4">
        <f t="shared" si="182"/>
        <v>5.0106634792800993</v>
      </c>
      <c r="AZ182" s="4">
        <f t="shared" si="183"/>
        <v>44.726451208463487</v>
      </c>
      <c r="BA182" s="4">
        <f t="shared" si="184"/>
        <v>-0.11626918921542111</v>
      </c>
      <c r="BB182" s="4">
        <f t="shared" si="185"/>
        <v>-3.6569656986360544</v>
      </c>
      <c r="BC182" s="4">
        <f t="shared" si="186"/>
        <v>-2.5253192159766678</v>
      </c>
      <c r="BD182" s="4">
        <f t="shared" si="187"/>
        <v>7.710566635339708</v>
      </c>
      <c r="BE182" s="4">
        <f t="shared" si="188"/>
        <v>26.948587173565954</v>
      </c>
      <c r="BF182" s="4">
        <f t="shared" si="189"/>
        <v>-23.544261139641456</v>
      </c>
      <c r="BG182" s="4">
        <f t="shared" si="190"/>
        <v>-1.5762035045592773</v>
      </c>
      <c r="BH182" s="4">
        <f t="shared" si="191"/>
        <v>-32.972403091428276</v>
      </c>
      <c r="BI182" s="4">
        <f t="shared" si="192"/>
        <v>-5.2597997439724375</v>
      </c>
      <c r="BJ182" s="4">
        <f t="shared" si="193"/>
        <v>-171.62787033130797</v>
      </c>
      <c r="BK182" s="4">
        <f t="shared" si="194"/>
        <v>9.199980493820642E-2</v>
      </c>
      <c r="BL182" s="4">
        <f t="shared" si="195"/>
        <v>3.5224872597891785</v>
      </c>
      <c r="BM182" s="4">
        <f t="shared" si="196"/>
        <v>10.088460043413079</v>
      </c>
      <c r="BN182" s="4">
        <f t="shared" si="197"/>
        <v>-4.9712079990807903</v>
      </c>
      <c r="BO182" s="4">
        <f t="shared" si="198"/>
        <v>-63.291894905417969</v>
      </c>
      <c r="BP182" s="4">
        <f t="shared" si="199"/>
        <v>-50.655721437716835</v>
      </c>
      <c r="BQ182" s="4">
        <f t="shared" si="200"/>
        <v>-3.9254006728898441</v>
      </c>
      <c r="BR182" s="4">
        <f t="shared" si="201"/>
        <v>27.61314627203663</v>
      </c>
      <c r="BS182" s="4">
        <f t="shared" si="202"/>
        <v>296.81533482841968</v>
      </c>
      <c r="BT182" s="4">
        <f t="shared" si="203"/>
        <v>1536.7281107459007</v>
      </c>
      <c r="BU182" s="4">
        <f t="shared" si="204"/>
        <v>0.92056454121093745</v>
      </c>
      <c r="BV182" s="4">
        <f t="shared" si="205"/>
        <v>18.509720368359375</v>
      </c>
      <c r="BW182" s="4">
        <f t="shared" si="206"/>
        <v>-123.23853300805875</v>
      </c>
      <c r="BX182" s="4">
        <f t="shared" si="207"/>
        <v>-885.56449695321157</v>
      </c>
      <c r="BY182" s="4">
        <f t="shared" si="208"/>
        <v>-3306.2019168968986</v>
      </c>
      <c r="BZ182" s="6">
        <f t="shared" si="209"/>
        <v>-1.4133062529294875</v>
      </c>
      <c r="CA182" s="7"/>
      <c r="CB182" s="6">
        <v>-1.413303521090711</v>
      </c>
      <c r="CC182" s="6"/>
    </row>
    <row r="183" spans="1:81" x14ac:dyDescent="0.3">
      <c r="A183" s="4">
        <v>181</v>
      </c>
      <c r="B183" s="4">
        <v>151475420</v>
      </c>
      <c r="C183" s="4">
        <v>3.2360000000000002</v>
      </c>
      <c r="D183" s="4">
        <v>4.6849999999999996</v>
      </c>
      <c r="E183" s="4">
        <v>0.42499999999999999</v>
      </c>
      <c r="F183" s="4">
        <v>3.7429999999999999</v>
      </c>
      <c r="H183" s="6">
        <v>-2618.81325553337</v>
      </c>
      <c r="I183" s="4">
        <f t="shared" si="140"/>
        <v>150.19182759560002</v>
      </c>
      <c r="J183" s="4">
        <f t="shared" si="141"/>
        <v>-2305.620902785</v>
      </c>
      <c r="K183" s="4">
        <f t="shared" si="142"/>
        <v>1006.7513049999999</v>
      </c>
      <c r="L183" s="4">
        <f t="shared" si="143"/>
        <v>12095.52740716</v>
      </c>
      <c r="M183" s="4">
        <f t="shared" si="144"/>
        <v>40.461175893350728</v>
      </c>
      <c r="N183" s="4">
        <f t="shared" si="145"/>
        <v>38.352122783958194</v>
      </c>
      <c r="O183" s="4">
        <f t="shared" si="146"/>
        <v>-94.662047532399995</v>
      </c>
      <c r="P183" s="4">
        <f t="shared" si="147"/>
        <v>-464.41744883069202</v>
      </c>
      <c r="Q183" s="4">
        <f t="shared" si="148"/>
        <v>-263.41171638293747</v>
      </c>
      <c r="R183" s="4">
        <f t="shared" si="149"/>
        <v>360.30718229924992</v>
      </c>
      <c r="S183" s="4">
        <f t="shared" si="150"/>
        <v>7419.5391400154849</v>
      </c>
      <c r="T183" s="4">
        <f t="shared" si="151"/>
        <v>-74.972149883749992</v>
      </c>
      <c r="U183" s="4">
        <f t="shared" si="152"/>
        <v>-3270.65775476525</v>
      </c>
      <c r="V183" s="4">
        <f t="shared" si="153"/>
        <v>-20828.707625187297</v>
      </c>
      <c r="W183" s="4">
        <f t="shared" si="154"/>
        <v>-1.2262466083996661</v>
      </c>
      <c r="X183" s="4">
        <f t="shared" si="155"/>
        <v>6.5096716645169241</v>
      </c>
      <c r="Y183" s="4">
        <f t="shared" si="156"/>
        <v>2.6470839336555665</v>
      </c>
      <c r="Z183" s="4">
        <f t="shared" si="157"/>
        <v>-102.79708537952197</v>
      </c>
      <c r="AA183" s="4">
        <f t="shared" si="158"/>
        <v>16.502428446772882</v>
      </c>
      <c r="AB183" s="4">
        <f t="shared" si="159"/>
        <v>-69.431408584332743</v>
      </c>
      <c r="AC183" s="4">
        <f t="shared" si="160"/>
        <v>1.9694885914882931</v>
      </c>
      <c r="AD183" s="4">
        <f t="shared" si="161"/>
        <v>47.957327870185495</v>
      </c>
      <c r="AE183" s="4">
        <f t="shared" si="162"/>
        <v>102.48300372135657</v>
      </c>
      <c r="AF183" s="4">
        <f t="shared" si="163"/>
        <v>541.57431445995053</v>
      </c>
      <c r="AG183" s="4">
        <f t="shared" si="164"/>
        <v>-44.517755650770077</v>
      </c>
      <c r="AH183" s="4">
        <f t="shared" si="165"/>
        <v>147.40122692665207</v>
      </c>
      <c r="AI183" s="4">
        <f t="shared" si="166"/>
        <v>396.0126781919065</v>
      </c>
      <c r="AJ183" s="4">
        <f t="shared" si="167"/>
        <v>-12.441185642307497</v>
      </c>
      <c r="AK183" s="4">
        <f t="shared" si="168"/>
        <v>-925.33736287337035</v>
      </c>
      <c r="AL183" s="4">
        <f t="shared" si="169"/>
        <v>-7654.0587824628201</v>
      </c>
      <c r="AM183" s="4">
        <f t="shared" si="170"/>
        <v>-23.107926103812495</v>
      </c>
      <c r="AN183" s="4">
        <f t="shared" si="171"/>
        <v>218.62647220494807</v>
      </c>
      <c r="AO183" s="4">
        <f t="shared" si="172"/>
        <v>3559.3717130363775</v>
      </c>
      <c r="AP183" s="4">
        <f t="shared" si="173"/>
        <v>15704.498377911235</v>
      </c>
      <c r="AQ183" s="4">
        <f t="shared" si="174"/>
        <v>8.0924946697770589E-3</v>
      </c>
      <c r="AR183" s="4">
        <f t="shared" si="175"/>
        <v>-0.21758442733117281</v>
      </c>
      <c r="AS183" s="4">
        <f t="shared" si="176"/>
        <v>4.7252181999591393E-3</v>
      </c>
      <c r="AT183" s="4">
        <f t="shared" si="177"/>
        <v>1.6837026270581179</v>
      </c>
      <c r="AU183" s="4">
        <f t="shared" si="178"/>
        <v>0.93537948735581877</v>
      </c>
      <c r="AV183" s="4">
        <f t="shared" si="179"/>
        <v>-6.2486185858928811E-3</v>
      </c>
      <c r="AW183" s="4">
        <f t="shared" si="180"/>
        <v>-8.9142525081279409</v>
      </c>
      <c r="AX183" s="4">
        <f t="shared" si="181"/>
        <v>-2.4487478524136432</v>
      </c>
      <c r="AY183" s="4">
        <f t="shared" si="182"/>
        <v>6.5727667784327188</v>
      </c>
      <c r="AZ183" s="4">
        <f t="shared" si="183"/>
        <v>55.520601804852291</v>
      </c>
      <c r="BA183" s="4">
        <f t="shared" si="184"/>
        <v>-0.28771674442746792</v>
      </c>
      <c r="BB183" s="4">
        <f t="shared" si="185"/>
        <v>-7.6794308147427053</v>
      </c>
      <c r="BC183" s="4">
        <f t="shared" si="186"/>
        <v>-5.0183525318361948</v>
      </c>
      <c r="BD183" s="4">
        <f t="shared" si="187"/>
        <v>13.740485933101525</v>
      </c>
      <c r="BE183" s="4">
        <f t="shared" si="188"/>
        <v>45.445254139280557</v>
      </c>
      <c r="BF183" s="4">
        <f t="shared" si="189"/>
        <v>-37.572867316369212</v>
      </c>
      <c r="BG183" s="4">
        <f t="shared" si="190"/>
        <v>-2.3836129579666867</v>
      </c>
      <c r="BH183" s="4">
        <f t="shared" si="191"/>
        <v>-47.185741836155614</v>
      </c>
      <c r="BI183" s="4">
        <f t="shared" si="192"/>
        <v>-7.1230523176817782</v>
      </c>
      <c r="BJ183" s="4">
        <f t="shared" si="193"/>
        <v>-219.94873873776174</v>
      </c>
      <c r="BK183" s="4">
        <f t="shared" si="194"/>
        <v>0.29267589065995403</v>
      </c>
      <c r="BL183" s="4">
        <f t="shared" si="195"/>
        <v>9.5094877853462147</v>
      </c>
      <c r="BM183" s="4">
        <f t="shared" si="196"/>
        <v>25.773257333934822</v>
      </c>
      <c r="BN183" s="4">
        <f t="shared" si="197"/>
        <v>-11.388782013397746</v>
      </c>
      <c r="BO183" s="4">
        <f t="shared" si="198"/>
        <v>-137.21455510092278</v>
      </c>
      <c r="BP183" s="4">
        <f t="shared" si="199"/>
        <v>-103.92435226078177</v>
      </c>
      <c r="BQ183" s="4">
        <f t="shared" si="200"/>
        <v>-7.6314487161770375</v>
      </c>
      <c r="BR183" s="4">
        <f t="shared" si="201"/>
        <v>50.801393906999024</v>
      </c>
      <c r="BS183" s="4">
        <f t="shared" si="202"/>
        <v>516.75276366838125</v>
      </c>
      <c r="BT183" s="4">
        <f t="shared" si="203"/>
        <v>2531.8049621450095</v>
      </c>
      <c r="BU183" s="4">
        <f t="shared" si="204"/>
        <v>1.5187451070909372</v>
      </c>
      <c r="BV183" s="4">
        <f t="shared" si="205"/>
        <v>28.897963947224682</v>
      </c>
      <c r="BW183" s="4">
        <f t="shared" si="206"/>
        <v>-182.07513680032361</v>
      </c>
      <c r="BX183" s="4">
        <f t="shared" si="207"/>
        <v>-1238.1152126085572</v>
      </c>
      <c r="BY183" s="4">
        <f t="shared" si="208"/>
        <v>-4374.2839780566228</v>
      </c>
      <c r="BZ183" s="6">
        <f t="shared" si="209"/>
        <v>-1.6542604519281667</v>
      </c>
      <c r="CA183" s="7"/>
      <c r="CB183" s="6">
        <v>-1.6542600696566301</v>
      </c>
      <c r="CC183" s="6"/>
    </row>
    <row r="184" spans="1:81" x14ac:dyDescent="0.3">
      <c r="A184" s="4">
        <v>182</v>
      </c>
      <c r="B184" s="4">
        <v>127033500</v>
      </c>
      <c r="C184" s="4">
        <v>8.8439999999999994</v>
      </c>
      <c r="D184" s="4">
        <v>8.4179999999999993</v>
      </c>
      <c r="E184" s="4">
        <v>0.44700000000000001</v>
      </c>
      <c r="F184" s="4">
        <v>3.5019999999999998</v>
      </c>
      <c r="H184" s="6">
        <v>-2618.81325553337</v>
      </c>
      <c r="I184" s="4">
        <f t="shared" si="140"/>
        <v>410.47482177239999</v>
      </c>
      <c r="J184" s="4">
        <f t="shared" si="141"/>
        <v>-4142.7357010979995</v>
      </c>
      <c r="K184" s="4">
        <f t="shared" si="142"/>
        <v>1058.8654902000001</v>
      </c>
      <c r="L184" s="4">
        <f t="shared" si="143"/>
        <v>11316.734432239999</v>
      </c>
      <c r="M184" s="4">
        <f t="shared" si="144"/>
        <v>302.21703615435547</v>
      </c>
      <c r="N184" s="4">
        <f t="shared" si="145"/>
        <v>188.3340970578698</v>
      </c>
      <c r="O184" s="4">
        <f t="shared" si="146"/>
        <v>-272.10386339294394</v>
      </c>
      <c r="P184" s="4">
        <f t="shared" si="147"/>
        <v>-1187.5312967345517</v>
      </c>
      <c r="Q184" s="4">
        <f t="shared" si="148"/>
        <v>-850.42053905822979</v>
      </c>
      <c r="R184" s="4">
        <f t="shared" si="149"/>
        <v>680.91176580375588</v>
      </c>
      <c r="S184" s="4">
        <f t="shared" si="150"/>
        <v>12473.047350043811</v>
      </c>
      <c r="T184" s="4">
        <f t="shared" si="151"/>
        <v>-82.934866691334008</v>
      </c>
      <c r="U184" s="4">
        <f t="shared" si="152"/>
        <v>-3218.4740301821403</v>
      </c>
      <c r="V184" s="4">
        <f t="shared" si="153"/>
        <v>-18232.866539590796</v>
      </c>
      <c r="W184" s="4">
        <f t="shared" si="154"/>
        <v>-25.032168993926316</v>
      </c>
      <c r="X184" s="4">
        <f t="shared" si="155"/>
        <v>87.3652757991062</v>
      </c>
      <c r="Y184" s="4">
        <f t="shared" si="156"/>
        <v>20.795374558940466</v>
      </c>
      <c r="Z184" s="4">
        <f t="shared" si="157"/>
        <v>-718.38549983942573</v>
      </c>
      <c r="AA184" s="4">
        <f t="shared" si="158"/>
        <v>145.60850125290224</v>
      </c>
      <c r="AB184" s="4">
        <f t="shared" si="159"/>
        <v>-358.60316335677379</v>
      </c>
      <c r="AC184" s="4">
        <f t="shared" si="160"/>
        <v>9.0487654515885936</v>
      </c>
      <c r="AD184" s="4">
        <f t="shared" si="161"/>
        <v>144.98810839426091</v>
      </c>
      <c r="AE184" s="4">
        <f t="shared" si="162"/>
        <v>275.61761767755382</v>
      </c>
      <c r="AF184" s="4">
        <f t="shared" si="163"/>
        <v>1295.6595750819831</v>
      </c>
      <c r="AG184" s="4">
        <f t="shared" si="164"/>
        <v>-258.24459461389813</v>
      </c>
      <c r="AH184" s="4">
        <f t="shared" si="165"/>
        <v>500.51643657001455</v>
      </c>
      <c r="AI184" s="4">
        <f t="shared" si="166"/>
        <v>1196.2007129653375</v>
      </c>
      <c r="AJ184" s="4">
        <f t="shared" si="167"/>
        <v>-24.728529007882063</v>
      </c>
      <c r="AK184" s="4">
        <f t="shared" si="168"/>
        <v>-1636.11690580856</v>
      </c>
      <c r="AL184" s="4">
        <f t="shared" si="169"/>
        <v>-12038.815221166755</v>
      </c>
      <c r="AM184" s="4">
        <f t="shared" si="170"/>
        <v>-26.885415291986124</v>
      </c>
      <c r="AN184" s="4">
        <f t="shared" si="171"/>
        <v>226.27483025992959</v>
      </c>
      <c r="AO184" s="4">
        <f t="shared" si="172"/>
        <v>3277.0613133801735</v>
      </c>
      <c r="AP184" s="4">
        <f t="shared" si="173"/>
        <v>12862.133499410076</v>
      </c>
      <c r="AQ184" s="4">
        <f t="shared" si="174"/>
        <v>0.45148497906824409</v>
      </c>
      <c r="AR184" s="4">
        <f t="shared" si="175"/>
        <v>-7.9808251942792401</v>
      </c>
      <c r="AS184" s="4">
        <f t="shared" si="176"/>
        <v>0.10145211937139435</v>
      </c>
      <c r="AT184" s="4">
        <f t="shared" si="177"/>
        <v>32.157506570955455</v>
      </c>
      <c r="AU184" s="4">
        <f t="shared" si="178"/>
        <v>22.556251901464044</v>
      </c>
      <c r="AV184" s="4">
        <f t="shared" si="179"/>
        <v>-8.8202801099511896E-2</v>
      </c>
      <c r="AW184" s="4">
        <f t="shared" si="180"/>
        <v>-111.93373993026198</v>
      </c>
      <c r="AX184" s="4">
        <f t="shared" si="181"/>
        <v>-20.233065907932723</v>
      </c>
      <c r="AY184" s="4">
        <f t="shared" si="182"/>
        <v>48.310726904798166</v>
      </c>
      <c r="AZ184" s="4">
        <f t="shared" si="183"/>
        <v>363.01722794600721</v>
      </c>
      <c r="BA184" s="4">
        <f t="shared" si="184"/>
        <v>-4.5614543936689955</v>
      </c>
      <c r="BB184" s="4">
        <f t="shared" si="185"/>
        <v>-71.266675263611461</v>
      </c>
      <c r="BC184" s="4">
        <f t="shared" si="186"/>
        <v>-41.428227699728566</v>
      </c>
      <c r="BD184" s="4">
        <f t="shared" si="187"/>
        <v>74.641236479698662</v>
      </c>
      <c r="BE184" s="4">
        <f t="shared" si="188"/>
        <v>219.60538800606054</v>
      </c>
      <c r="BF184" s="4">
        <f t="shared" si="189"/>
        <v>-161.51263975233536</v>
      </c>
      <c r="BG184" s="4">
        <f t="shared" si="190"/>
        <v>-7.5793460818157481</v>
      </c>
      <c r="BH184" s="4">
        <f t="shared" si="191"/>
        <v>-133.47026078012505</v>
      </c>
      <c r="BI184" s="4">
        <f t="shared" si="192"/>
        <v>-17.923283633448257</v>
      </c>
      <c r="BJ184" s="4">
        <f t="shared" si="193"/>
        <v>-492.32358435579289</v>
      </c>
      <c r="BK184" s="4">
        <f t="shared" si="194"/>
        <v>3.0505928878328672</v>
      </c>
      <c r="BL184" s="4">
        <f t="shared" si="195"/>
        <v>58.019461892528021</v>
      </c>
      <c r="BM184" s="4">
        <f t="shared" si="196"/>
        <v>139.88257012654347</v>
      </c>
      <c r="BN184" s="4">
        <f t="shared" si="197"/>
        <v>-40.673647359012435</v>
      </c>
      <c r="BO184" s="4">
        <f t="shared" si="198"/>
        <v>-435.92697306612217</v>
      </c>
      <c r="BP184" s="4">
        <f t="shared" si="199"/>
        <v>-293.70315240385003</v>
      </c>
      <c r="BQ184" s="4">
        <f t="shared" si="200"/>
        <v>-15.95372477303172</v>
      </c>
      <c r="BR184" s="4">
        <f t="shared" si="201"/>
        <v>94.473162957556397</v>
      </c>
      <c r="BS184" s="4">
        <f t="shared" si="202"/>
        <v>854.85677214964244</v>
      </c>
      <c r="BT184" s="4">
        <f t="shared" si="203"/>
        <v>3725.7912360159612</v>
      </c>
      <c r="BU184" s="4">
        <f t="shared" si="204"/>
        <v>1.8584858725441242</v>
      </c>
      <c r="BV184" s="4">
        <f t="shared" si="205"/>
        <v>31.4571475052187</v>
      </c>
      <c r="BW184" s="4">
        <f t="shared" si="206"/>
        <v>-176.31142695534638</v>
      </c>
      <c r="BX184" s="4">
        <f t="shared" si="207"/>
        <v>-1066.5189998802487</v>
      </c>
      <c r="BY184" s="4">
        <f t="shared" si="208"/>
        <v>-3351.9090996941159</v>
      </c>
      <c r="BZ184" s="6">
        <f t="shared" si="209"/>
        <v>-1.9042118970892261</v>
      </c>
      <c r="CA184" s="7"/>
      <c r="CB184" s="6">
        <v>-1.904218253165709</v>
      </c>
      <c r="CC184" s="6"/>
    </row>
    <row r="185" spans="1:81" x14ac:dyDescent="0.3">
      <c r="A185" s="4">
        <v>183</v>
      </c>
      <c r="B185" s="4">
        <v>14130926</v>
      </c>
      <c r="C185" s="4">
        <v>5.7869999999999999</v>
      </c>
      <c r="D185" s="4">
        <v>4.03</v>
      </c>
      <c r="E185" s="4">
        <v>0.432</v>
      </c>
      <c r="F185" s="4">
        <v>3.6190000000000002</v>
      </c>
      <c r="H185" s="6">
        <v>-2618.81325553337</v>
      </c>
      <c r="I185" s="4">
        <f t="shared" si="140"/>
        <v>268.59088575269999</v>
      </c>
      <c r="J185" s="4">
        <f t="shared" si="141"/>
        <v>-1983.2768918300001</v>
      </c>
      <c r="K185" s="4">
        <f t="shared" si="142"/>
        <v>1023.3330911999999</v>
      </c>
      <c r="L185" s="4">
        <f t="shared" si="143"/>
        <v>11694.820648280001</v>
      </c>
      <c r="M185" s="4">
        <f t="shared" si="144"/>
        <v>129.39826076562258</v>
      </c>
      <c r="N185" s="4">
        <f t="shared" si="145"/>
        <v>58.996986294764696</v>
      </c>
      <c r="O185" s="4">
        <f t="shared" si="146"/>
        <v>-172.07416871827201</v>
      </c>
      <c r="P185" s="4">
        <f t="shared" si="147"/>
        <v>-803.01240409628701</v>
      </c>
      <c r="Q185" s="4">
        <f t="shared" si="148"/>
        <v>-194.90635066175005</v>
      </c>
      <c r="R185" s="4">
        <f t="shared" si="149"/>
        <v>315.03817796255998</v>
      </c>
      <c r="S185" s="4">
        <f t="shared" si="150"/>
        <v>6170.7952578171908</v>
      </c>
      <c r="T185" s="4">
        <f t="shared" si="151"/>
        <v>-77.462159169023991</v>
      </c>
      <c r="U185" s="4">
        <f t="shared" si="152"/>
        <v>-3214.3907837764805</v>
      </c>
      <c r="V185" s="4">
        <f t="shared" si="153"/>
        <v>-19471.519135229701</v>
      </c>
      <c r="W185" s="4">
        <f t="shared" si="154"/>
        <v>-7.0131435343949002</v>
      </c>
      <c r="X185" s="4">
        <f t="shared" si="155"/>
        <v>17.907892302881272</v>
      </c>
      <c r="Y185" s="4">
        <f t="shared" si="156"/>
        <v>8.6050315646080211</v>
      </c>
      <c r="Z185" s="4">
        <f t="shared" si="157"/>
        <v>-317.86264729576516</v>
      </c>
      <c r="AA185" s="4">
        <f t="shared" si="158"/>
        <v>21.836535178127075</v>
      </c>
      <c r="AB185" s="4">
        <f t="shared" si="159"/>
        <v>-108.56534408985095</v>
      </c>
      <c r="AC185" s="4">
        <f t="shared" si="160"/>
        <v>2.9292918668274384</v>
      </c>
      <c r="AD185" s="4">
        <f t="shared" si="161"/>
        <v>88.611396219434639</v>
      </c>
      <c r="AE185" s="4">
        <f t="shared" si="162"/>
        <v>180.11935704798717</v>
      </c>
      <c r="AF185" s="4">
        <f t="shared" si="163"/>
        <v>905.40010402155974</v>
      </c>
      <c r="AG185" s="4">
        <f t="shared" si="164"/>
        <v>-28.334764938423383</v>
      </c>
      <c r="AH185" s="4">
        <f t="shared" si="165"/>
        <v>110.86304862263906</v>
      </c>
      <c r="AI185" s="4">
        <f t="shared" si="166"/>
        <v>283.31446445964173</v>
      </c>
      <c r="AJ185" s="4">
        <f t="shared" si="167"/>
        <v>-11.057243024295934</v>
      </c>
      <c r="AK185" s="4">
        <f t="shared" si="168"/>
        <v>-782.27440684481098</v>
      </c>
      <c r="AL185" s="4">
        <f t="shared" si="169"/>
        <v>-6154.9532153509008</v>
      </c>
      <c r="AM185" s="4">
        <f t="shared" si="170"/>
        <v>-24.268638934646781</v>
      </c>
      <c r="AN185" s="4">
        <f t="shared" si="171"/>
        <v>218.40427580536854</v>
      </c>
      <c r="AO185" s="4">
        <f t="shared" si="172"/>
        <v>3382.2497508075248</v>
      </c>
      <c r="AP185" s="4">
        <f t="shared" si="173"/>
        <v>14194.834618624853</v>
      </c>
      <c r="AQ185" s="4">
        <f t="shared" si="174"/>
        <v>8.2767969249758946E-2</v>
      </c>
      <c r="AR185" s="4">
        <f t="shared" si="175"/>
        <v>-1.0704297446111928</v>
      </c>
      <c r="AS185" s="4">
        <f t="shared" si="176"/>
        <v>2.7469553043767421E-2</v>
      </c>
      <c r="AT185" s="4">
        <f t="shared" si="177"/>
        <v>9.310415305328247</v>
      </c>
      <c r="AU185" s="4">
        <f t="shared" si="178"/>
        <v>2.2134447316559815</v>
      </c>
      <c r="AV185" s="4">
        <f t="shared" si="179"/>
        <v>-1.7472869076754889E-2</v>
      </c>
      <c r="AW185" s="4">
        <f t="shared" si="180"/>
        <v>-23.71041075333358</v>
      </c>
      <c r="AX185" s="4">
        <f t="shared" si="181"/>
        <v>-8.0913994290930269</v>
      </c>
      <c r="AY185" s="4">
        <f t="shared" si="182"/>
        <v>20.658640306362049</v>
      </c>
      <c r="AZ185" s="4">
        <f t="shared" si="183"/>
        <v>165.98988183106187</v>
      </c>
      <c r="BA185" s="4">
        <f t="shared" si="184"/>
        <v>-0.32748880590983531</v>
      </c>
      <c r="BB185" s="4">
        <f t="shared" si="185"/>
        <v>-10.329034312751821</v>
      </c>
      <c r="BC185" s="4">
        <f t="shared" si="186"/>
        <v>-6.4204548141783233</v>
      </c>
      <c r="BD185" s="4">
        <f t="shared" si="187"/>
        <v>21.838969698395399</v>
      </c>
      <c r="BE185" s="4">
        <f t="shared" si="188"/>
        <v>68.705662158110741</v>
      </c>
      <c r="BF185" s="4">
        <f t="shared" si="189"/>
        <v>-54.032152765966103</v>
      </c>
      <c r="BG185" s="4">
        <f t="shared" si="190"/>
        <v>-4.4767738647070949</v>
      </c>
      <c r="BH185" s="4">
        <f t="shared" si="191"/>
        <v>-84.297393475876902</v>
      </c>
      <c r="BI185" s="4">
        <f t="shared" si="192"/>
        <v>-12.104404612147942</v>
      </c>
      <c r="BJ185" s="4">
        <f t="shared" si="193"/>
        <v>-355.52710243156741</v>
      </c>
      <c r="BK185" s="4">
        <f t="shared" si="194"/>
        <v>0.16023919419463956</v>
      </c>
      <c r="BL185" s="4">
        <f t="shared" si="195"/>
        <v>6.1523111907407477</v>
      </c>
      <c r="BM185" s="4">
        <f t="shared" si="196"/>
        <v>15.860775527980939</v>
      </c>
      <c r="BN185" s="4">
        <f t="shared" si="197"/>
        <v>-8.7067849078723381</v>
      </c>
      <c r="BO185" s="4">
        <f t="shared" si="198"/>
        <v>-99.78256333013087</v>
      </c>
      <c r="BP185" s="4">
        <f t="shared" si="199"/>
        <v>-71.886235307129994</v>
      </c>
      <c r="BQ185" s="4">
        <f t="shared" si="200"/>
        <v>-6.8942478331677455</v>
      </c>
      <c r="BR185" s="4">
        <f t="shared" si="201"/>
        <v>43.654545319228106</v>
      </c>
      <c r="BS185" s="4">
        <f t="shared" si="202"/>
        <v>422.38704317799699</v>
      </c>
      <c r="BT185" s="4">
        <f t="shared" si="203"/>
        <v>1968.4843465322961</v>
      </c>
      <c r="BU185" s="4">
        <f t="shared" si="204"/>
        <v>1.6213028974892676</v>
      </c>
      <c r="BV185" s="4">
        <f t="shared" si="205"/>
        <v>29.344076838179383</v>
      </c>
      <c r="BW185" s="4">
        <f t="shared" si="206"/>
        <v>-175.86434158878839</v>
      </c>
      <c r="BX185" s="4">
        <f t="shared" si="207"/>
        <v>-1137.528128315078</v>
      </c>
      <c r="BY185" s="4">
        <f t="shared" si="208"/>
        <v>-3822.8037023237493</v>
      </c>
      <c r="BZ185" s="6">
        <f t="shared" si="209"/>
        <v>-1.114107687511023</v>
      </c>
      <c r="CA185" s="7"/>
      <c r="CB185" s="6">
        <v>-1.1141071216352429</v>
      </c>
      <c r="CC185" s="6"/>
    </row>
    <row r="186" spans="1:81" x14ac:dyDescent="0.3">
      <c r="A186" s="4">
        <v>184</v>
      </c>
      <c r="B186" s="4">
        <v>72545546</v>
      </c>
      <c r="C186" s="4">
        <v>2.1909999999999998</v>
      </c>
      <c r="D186" s="4">
        <v>3.105</v>
      </c>
      <c r="E186" s="4">
        <v>0.438</v>
      </c>
      <c r="F186" s="4">
        <v>3.3780000000000001</v>
      </c>
      <c r="H186" s="6">
        <v>-2618.81325553337</v>
      </c>
      <c r="I186" s="4">
        <f t="shared" si="140"/>
        <v>101.6904494011</v>
      </c>
      <c r="J186" s="4">
        <f t="shared" si="141"/>
        <v>-1528.0582504050001</v>
      </c>
      <c r="K186" s="4">
        <f t="shared" si="142"/>
        <v>1037.5460507999999</v>
      </c>
      <c r="L186" s="4">
        <f t="shared" si="143"/>
        <v>10916.02767336</v>
      </c>
      <c r="M186" s="4">
        <f t="shared" si="144"/>
        <v>18.54839045305442</v>
      </c>
      <c r="N186" s="4">
        <f t="shared" si="145"/>
        <v>17.209778510039847</v>
      </c>
      <c r="O186" s="4">
        <f t="shared" si="146"/>
        <v>-66.053363783064</v>
      </c>
      <c r="P186" s="4">
        <f t="shared" si="147"/>
        <v>-283.78027888984195</v>
      </c>
      <c r="Q186" s="4">
        <f t="shared" si="148"/>
        <v>-115.7015312814375</v>
      </c>
      <c r="R186" s="4">
        <f t="shared" si="149"/>
        <v>246.09914739413998</v>
      </c>
      <c r="S186" s="4">
        <f t="shared" si="150"/>
        <v>4437.8105431092299</v>
      </c>
      <c r="T186" s="4">
        <f t="shared" si="151"/>
        <v>-79.628828358743988</v>
      </c>
      <c r="U186" s="4">
        <f t="shared" si="152"/>
        <v>-3042.0062361248406</v>
      </c>
      <c r="V186" s="4">
        <f t="shared" si="153"/>
        <v>-16964.534997766801</v>
      </c>
      <c r="W186" s="4">
        <f t="shared" si="154"/>
        <v>-0.38060931508353019</v>
      </c>
      <c r="X186" s="4">
        <f t="shared" si="155"/>
        <v>1.9777838336593228</v>
      </c>
      <c r="Y186" s="4">
        <f t="shared" si="156"/>
        <v>1.2506063278668038</v>
      </c>
      <c r="Z186" s="4">
        <f t="shared" si="157"/>
        <v>-42.529311160428975</v>
      </c>
      <c r="AA186" s="4">
        <f t="shared" si="158"/>
        <v>4.9077874029411452</v>
      </c>
      <c r="AB186" s="4">
        <f t="shared" si="159"/>
        <v>-32.109018504019694</v>
      </c>
      <c r="AC186" s="4">
        <f t="shared" si="160"/>
        <v>0.79758901052685172</v>
      </c>
      <c r="AD186" s="4">
        <f t="shared" si="161"/>
        <v>34.487300579501294</v>
      </c>
      <c r="AE186" s="4">
        <f t="shared" si="162"/>
        <v>64.537287646371652</v>
      </c>
      <c r="AF186" s="4">
        <f t="shared" si="163"/>
        <v>298.65621686564447</v>
      </c>
      <c r="AG186" s="4">
        <f t="shared" si="164"/>
        <v>-12.959531130464374</v>
      </c>
      <c r="AH186" s="4">
        <f t="shared" si="165"/>
        <v>66.725263501694897</v>
      </c>
      <c r="AI186" s="4">
        <f t="shared" si="166"/>
        <v>156.98310926032335</v>
      </c>
      <c r="AJ186" s="4">
        <f t="shared" si="167"/>
        <v>-8.7575805531358544</v>
      </c>
      <c r="AK186" s="4">
        <f t="shared" si="168"/>
        <v>-570.39683380375459</v>
      </c>
      <c r="AL186" s="4">
        <f t="shared" si="169"/>
        <v>-4131.6491845604141</v>
      </c>
      <c r="AM186" s="4">
        <f t="shared" si="170"/>
        <v>-25.293941594970335</v>
      </c>
      <c r="AN186" s="4">
        <f t="shared" si="171"/>
        <v>209.56218888054605</v>
      </c>
      <c r="AO186" s="4">
        <f t="shared" si="172"/>
        <v>2987.7080785771373</v>
      </c>
      <c r="AP186" s="4">
        <f t="shared" si="173"/>
        <v>11543.659908604512</v>
      </c>
      <c r="AQ186" s="4">
        <f t="shared" si="174"/>
        <v>1.7006615013634263E-3</v>
      </c>
      <c r="AR186" s="4">
        <f t="shared" si="175"/>
        <v>-4.4759106928285747E-2</v>
      </c>
      <c r="AS186" s="4">
        <f t="shared" si="176"/>
        <v>1.5115017083449497E-3</v>
      </c>
      <c r="AT186" s="4">
        <f t="shared" si="177"/>
        <v>0.47163584154833849</v>
      </c>
      <c r="AU186" s="4">
        <f t="shared" si="178"/>
        <v>0.18834738268063017</v>
      </c>
      <c r="AV186" s="4">
        <f t="shared" si="179"/>
        <v>-1.9565409194010073E-3</v>
      </c>
      <c r="AW186" s="4">
        <f t="shared" si="180"/>
        <v>-2.4442436103777823</v>
      </c>
      <c r="AX186" s="4">
        <f t="shared" si="181"/>
        <v>-1.1922907050695417</v>
      </c>
      <c r="AY186" s="4">
        <f t="shared" si="182"/>
        <v>2.802469858387743</v>
      </c>
      <c r="AZ186" s="4">
        <f t="shared" si="183"/>
        <v>20.730106363363213</v>
      </c>
      <c r="BA186" s="4">
        <f t="shared" si="184"/>
        <v>-5.6709397081732428E-2</v>
      </c>
      <c r="BB186" s="4">
        <f t="shared" si="185"/>
        <v>-2.3537053568927693</v>
      </c>
      <c r="BC186" s="4">
        <f t="shared" si="186"/>
        <v>-1.3469109012860148</v>
      </c>
      <c r="BD186" s="4">
        <f t="shared" si="187"/>
        <v>6.5487487213887219</v>
      </c>
      <c r="BE186" s="4">
        <f t="shared" si="188"/>
        <v>18.967033397482254</v>
      </c>
      <c r="BF186" s="4">
        <f t="shared" si="189"/>
        <v>-13.732191431239077</v>
      </c>
      <c r="BG186" s="4">
        <f t="shared" si="190"/>
        <v>-1.7665467848402243</v>
      </c>
      <c r="BH186" s="4">
        <f t="shared" si="191"/>
        <v>-30.623500395799926</v>
      </c>
      <c r="BI186" s="4">
        <f t="shared" si="192"/>
        <v>-4.048226612063452</v>
      </c>
      <c r="BJ186" s="4">
        <f t="shared" si="193"/>
        <v>-109.46487737875435</v>
      </c>
      <c r="BK186" s="4">
        <f t="shared" si="194"/>
        <v>5.6467035212368351E-2</v>
      </c>
      <c r="BL186" s="4">
        <f t="shared" si="195"/>
        <v>2.8529774122494262</v>
      </c>
      <c r="BM186" s="4">
        <f t="shared" si="196"/>
        <v>6.771192427456346</v>
      </c>
      <c r="BN186" s="4">
        <f t="shared" si="197"/>
        <v>-5.3131448972304307</v>
      </c>
      <c r="BO186" s="4">
        <f t="shared" si="198"/>
        <v>-56.056915718318749</v>
      </c>
      <c r="BP186" s="4">
        <f t="shared" si="199"/>
        <v>-37.179280513961871</v>
      </c>
      <c r="BQ186" s="4">
        <f t="shared" si="200"/>
        <v>-5.5362353075184263</v>
      </c>
      <c r="BR186" s="4">
        <f t="shared" si="201"/>
        <v>32.272886981410956</v>
      </c>
      <c r="BS186" s="4">
        <f t="shared" si="202"/>
        <v>287.47470299809822</v>
      </c>
      <c r="BT186" s="4">
        <f t="shared" si="203"/>
        <v>1233.3936562160025</v>
      </c>
      <c r="BU186" s="4">
        <f t="shared" si="204"/>
        <v>1.7132692240703573</v>
      </c>
      <c r="BV186" s="4">
        <f t="shared" si="205"/>
        <v>28.547139967171482</v>
      </c>
      <c r="BW186" s="4">
        <f t="shared" si="206"/>
        <v>-157.50728375736827</v>
      </c>
      <c r="BX186" s="4">
        <f t="shared" si="207"/>
        <v>-937.91977933583644</v>
      </c>
      <c r="BY186" s="4">
        <f t="shared" si="208"/>
        <v>-2901.791782145368</v>
      </c>
      <c r="BZ186" s="6">
        <f t="shared" si="209"/>
        <v>-2.0540931542013823</v>
      </c>
      <c r="CA186" s="7"/>
      <c r="CB186" s="6">
        <v>-2.0540896889092441</v>
      </c>
      <c r="CC186" s="6"/>
    </row>
    <row r="187" spans="1:81" x14ac:dyDescent="0.3">
      <c r="A187" s="4">
        <v>185</v>
      </c>
      <c r="B187" s="4">
        <v>15727887</v>
      </c>
      <c r="C187" s="4">
        <v>4.9740000000000002</v>
      </c>
      <c r="D187" s="4">
        <v>5.391</v>
      </c>
      <c r="E187" s="4">
        <v>0.626</v>
      </c>
      <c r="F187" s="4">
        <v>3.91</v>
      </c>
      <c r="H187" s="6">
        <v>-2618.81325553337</v>
      </c>
      <c r="I187" s="4">
        <f t="shared" si="140"/>
        <v>230.85727764540002</v>
      </c>
      <c r="J187" s="4">
        <f t="shared" si="141"/>
        <v>-2653.0634550509999</v>
      </c>
      <c r="K187" s="4">
        <f t="shared" si="142"/>
        <v>1482.8854515999999</v>
      </c>
      <c r="L187" s="4">
        <f t="shared" si="143"/>
        <v>12635.1889292</v>
      </c>
      <c r="M187" s="4">
        <f t="shared" si="144"/>
        <v>95.594528656714331</v>
      </c>
      <c r="N187" s="4">
        <f t="shared" si="145"/>
        <v>67.833841402647181</v>
      </c>
      <c r="O187" s="4">
        <f t="shared" si="146"/>
        <v>-214.31795920219201</v>
      </c>
      <c r="P187" s="4">
        <f t="shared" si="147"/>
        <v>-745.69756803485996</v>
      </c>
      <c r="Q187" s="4">
        <f t="shared" si="148"/>
        <v>-348.78239970855753</v>
      </c>
      <c r="R187" s="4">
        <f t="shared" si="149"/>
        <v>610.68613390887595</v>
      </c>
      <c r="S187" s="4">
        <f t="shared" si="150"/>
        <v>8918.53656216327</v>
      </c>
      <c r="T187" s="4">
        <f t="shared" si="151"/>
        <v>-162.656255821976</v>
      </c>
      <c r="U187" s="4">
        <f t="shared" si="152"/>
        <v>-5032.426433674601</v>
      </c>
      <c r="V187" s="4">
        <f t="shared" si="153"/>
        <v>-22728.783107370004</v>
      </c>
      <c r="W187" s="4">
        <f t="shared" si="154"/>
        <v>-4.4531735736542286</v>
      </c>
      <c r="X187" s="4">
        <f t="shared" si="155"/>
        <v>17.697558505790504</v>
      </c>
      <c r="Y187" s="4">
        <f t="shared" si="156"/>
        <v>9.2118668350904667</v>
      </c>
      <c r="Z187" s="4">
        <f t="shared" si="157"/>
        <v>-253.70689340667531</v>
      </c>
      <c r="AA187" s="4">
        <f t="shared" si="158"/>
        <v>33.586488442720032</v>
      </c>
      <c r="AB187" s="4">
        <f t="shared" si="159"/>
        <v>-180.88326302571897</v>
      </c>
      <c r="AC187" s="4">
        <f t="shared" si="160"/>
        <v>3.6388772375972644</v>
      </c>
      <c r="AD187" s="4">
        <f t="shared" si="161"/>
        <v>159.92746414438977</v>
      </c>
      <c r="AE187" s="4">
        <f t="shared" si="162"/>
        <v>242.3770231972654</v>
      </c>
      <c r="AF187" s="4">
        <f t="shared" si="163"/>
        <v>908.38339576383748</v>
      </c>
      <c r="AG187" s="4">
        <f t="shared" si="164"/>
        <v>-67.828540338460314</v>
      </c>
      <c r="AH187" s="4">
        <f t="shared" si="165"/>
        <v>287.47890028886616</v>
      </c>
      <c r="AI187" s="4">
        <f t="shared" si="166"/>
        <v>547.7539189110131</v>
      </c>
      <c r="AJ187" s="4">
        <f t="shared" si="167"/>
        <v>-31.059346474861663</v>
      </c>
      <c r="AK187" s="4">
        <f t="shared" si="168"/>
        <v>-1638.3329593936207</v>
      </c>
      <c r="AL187" s="4">
        <f t="shared" si="169"/>
        <v>-9610.9294750135468</v>
      </c>
      <c r="AM187" s="4">
        <f t="shared" si="170"/>
        <v>-73.844334268246683</v>
      </c>
      <c r="AN187" s="4">
        <f t="shared" si="171"/>
        <v>495.48496819502037</v>
      </c>
      <c r="AO187" s="4">
        <f t="shared" si="172"/>
        <v>5721.0087029389924</v>
      </c>
      <c r="AP187" s="4">
        <f t="shared" si="173"/>
        <v>17901.724113996734</v>
      </c>
      <c r="AQ187" s="4">
        <f t="shared" si="174"/>
        <v>4.5172226178324372E-2</v>
      </c>
      <c r="AR187" s="4">
        <f t="shared" si="175"/>
        <v>-0.90924170978193108</v>
      </c>
      <c r="AS187" s="4">
        <f t="shared" si="176"/>
        <v>2.5275460403205968E-2</v>
      </c>
      <c r="AT187" s="4">
        <f t="shared" si="177"/>
        <v>6.3872530708524415</v>
      </c>
      <c r="AU187" s="4">
        <f t="shared" si="178"/>
        <v>2.9261854795297237</v>
      </c>
      <c r="AV187" s="4">
        <f t="shared" si="179"/>
        <v>-2.5022096347166865E-2</v>
      </c>
      <c r="AW187" s="4">
        <f t="shared" si="180"/>
        <v>-25.316061076806822</v>
      </c>
      <c r="AX187" s="4">
        <f t="shared" si="181"/>
        <v>-12.551898260847608</v>
      </c>
      <c r="AY187" s="4">
        <f t="shared" si="182"/>
        <v>23.893792723406701</v>
      </c>
      <c r="AZ187" s="4">
        <f t="shared" si="183"/>
        <v>143.14051040577527</v>
      </c>
      <c r="BA187" s="4">
        <f t="shared" si="184"/>
        <v>-0.67381645939193402</v>
      </c>
      <c r="BB187" s="4">
        <f t="shared" si="185"/>
        <v>-23.021370614184882</v>
      </c>
      <c r="BC187" s="4">
        <f t="shared" si="186"/>
        <v>-10.669273253022581</v>
      </c>
      <c r="BD187" s="4">
        <f t="shared" si="187"/>
        <v>52.7266164377547</v>
      </c>
      <c r="BE187" s="4">
        <f t="shared" si="188"/>
        <v>123.67669595387345</v>
      </c>
      <c r="BF187" s="4">
        <f t="shared" si="189"/>
        <v>-72.517897473223314</v>
      </c>
      <c r="BG187" s="4">
        <f t="shared" si="190"/>
        <v>-11.708175270764142</v>
      </c>
      <c r="BH187" s="4">
        <f t="shared" si="191"/>
        <v>-164.37500984492081</v>
      </c>
      <c r="BI187" s="4">
        <f t="shared" si="192"/>
        <v>-17.597973764054345</v>
      </c>
      <c r="BJ187" s="4">
        <f t="shared" si="193"/>
        <v>-385.38032155235004</v>
      </c>
      <c r="BK187" s="4">
        <f t="shared" si="194"/>
        <v>0.51312821445166112</v>
      </c>
      <c r="BL187" s="4">
        <f t="shared" si="195"/>
        <v>21.341342607994498</v>
      </c>
      <c r="BM187" s="4">
        <f t="shared" si="196"/>
        <v>41.020925080136415</v>
      </c>
      <c r="BN187" s="4">
        <f t="shared" si="197"/>
        <v>-32.716554476960908</v>
      </c>
      <c r="BO187" s="4">
        <f t="shared" si="198"/>
        <v>-279.5516039905753</v>
      </c>
      <c r="BP187" s="4">
        <f t="shared" si="199"/>
        <v>-150.15875544796316</v>
      </c>
      <c r="BQ187" s="4">
        <f t="shared" si="200"/>
        <v>-28.062278872172168</v>
      </c>
      <c r="BR187" s="4">
        <f t="shared" si="201"/>
        <v>132.48389932674223</v>
      </c>
      <c r="BS187" s="4">
        <f t="shared" si="202"/>
        <v>955.74450182387</v>
      </c>
      <c r="BT187" s="4">
        <f t="shared" si="203"/>
        <v>3320.9380498330888</v>
      </c>
      <c r="BU187" s="4">
        <f t="shared" si="204"/>
        <v>7.1486906576744058</v>
      </c>
      <c r="BV187" s="4">
        <f t="shared" si="205"/>
        <v>96.467358051163856</v>
      </c>
      <c r="BW187" s="4">
        <f t="shared" si="206"/>
        <v>-431.05760520707344</v>
      </c>
      <c r="BX187" s="4">
        <f t="shared" si="207"/>
        <v>-2078.8217582423417</v>
      </c>
      <c r="BY187" s="4">
        <f t="shared" si="208"/>
        <v>-5208.7641719986932</v>
      </c>
      <c r="BZ187" s="6">
        <f t="shared" si="209"/>
        <v>-1.1218091157079471</v>
      </c>
      <c r="CA187" s="7"/>
      <c r="CB187" s="6">
        <v>-1.1218126590761131</v>
      </c>
      <c r="CC187" s="6"/>
    </row>
    <row r="188" spans="1:81" x14ac:dyDescent="0.3">
      <c r="A188" s="4">
        <v>186</v>
      </c>
      <c r="B188" s="4">
        <v>57438768</v>
      </c>
      <c r="C188" s="4">
        <v>2.9119999999999999</v>
      </c>
      <c r="D188" s="4">
        <v>4.5039999999999996</v>
      </c>
      <c r="E188" s="4">
        <v>0.47099999999999997</v>
      </c>
      <c r="F188" s="4">
        <v>3.774</v>
      </c>
      <c r="H188" s="6">
        <v>-2618.81325553337</v>
      </c>
      <c r="I188" s="4">
        <f t="shared" si="140"/>
        <v>135.1540797152</v>
      </c>
      <c r="J188" s="4">
        <f t="shared" si="141"/>
        <v>-2216.545687544</v>
      </c>
      <c r="K188" s="4">
        <f t="shared" si="142"/>
        <v>1115.7173286</v>
      </c>
      <c r="L188" s="4">
        <f t="shared" si="143"/>
        <v>12195.704096879999</v>
      </c>
      <c r="M188" s="4">
        <f t="shared" si="144"/>
        <v>32.764550605230085</v>
      </c>
      <c r="N188" s="4">
        <f t="shared" si="145"/>
        <v>33.17882879024895</v>
      </c>
      <c r="O188" s="4">
        <f t="shared" si="146"/>
        <v>-94.404072287615989</v>
      </c>
      <c r="P188" s="4">
        <f t="shared" si="147"/>
        <v>-421.37954985235194</v>
      </c>
      <c r="Q188" s="4">
        <f t="shared" si="148"/>
        <v>-243.45161586031995</v>
      </c>
      <c r="R188" s="4">
        <f t="shared" si="149"/>
        <v>383.87840623502393</v>
      </c>
      <c r="S188" s="4">
        <f t="shared" si="150"/>
        <v>7191.9686482852312</v>
      </c>
      <c r="T188" s="4">
        <f t="shared" si="151"/>
        <v>-92.079704926565995</v>
      </c>
      <c r="U188" s="4">
        <f t="shared" si="152"/>
        <v>-3654.6782383517402</v>
      </c>
      <c r="V188" s="4">
        <f t="shared" si="153"/>
        <v>-21175.148330125201</v>
      </c>
      <c r="W188" s="4">
        <f t="shared" si="154"/>
        <v>-0.8935654993993728</v>
      </c>
      <c r="X188" s="4">
        <f t="shared" si="155"/>
        <v>5.0677313745104646</v>
      </c>
      <c r="Y188" s="4">
        <f t="shared" si="156"/>
        <v>2.3755567215366602</v>
      </c>
      <c r="Z188" s="4">
        <f t="shared" si="157"/>
        <v>-83.932195846138001</v>
      </c>
      <c r="AA188" s="4">
        <f t="shared" si="158"/>
        <v>13.724871571737042</v>
      </c>
      <c r="AB188" s="4">
        <f t="shared" si="159"/>
        <v>-66.567093894048369</v>
      </c>
      <c r="AC188" s="4">
        <f t="shared" si="160"/>
        <v>1.7179367986335399</v>
      </c>
      <c r="AD188" s="4">
        <f t="shared" si="161"/>
        <v>53.003163164929283</v>
      </c>
      <c r="AE188" s="4">
        <f t="shared" si="162"/>
        <v>103.05017872950003</v>
      </c>
      <c r="AF188" s="4">
        <f t="shared" si="163"/>
        <v>495.45595626602102</v>
      </c>
      <c r="AG188" s="4">
        <f t="shared" si="164"/>
        <v>-39.554839009391245</v>
      </c>
      <c r="AH188" s="4">
        <f t="shared" si="165"/>
        <v>150.97695041373527</v>
      </c>
      <c r="AI188" s="4">
        <f t="shared" si="166"/>
        <v>369.03599794772373</v>
      </c>
      <c r="AJ188" s="4">
        <f t="shared" si="167"/>
        <v>-14.68975360349128</v>
      </c>
      <c r="AK188" s="4">
        <f t="shared" si="168"/>
        <v>-994.03787137179836</v>
      </c>
      <c r="AL188" s="4">
        <f t="shared" si="169"/>
        <v>-7480.7426972649591</v>
      </c>
      <c r="AM188" s="4">
        <f t="shared" si="170"/>
        <v>-31.45262530968586</v>
      </c>
      <c r="AN188" s="4">
        <f t="shared" si="171"/>
        <v>270.73772164970586</v>
      </c>
      <c r="AO188" s="4">
        <f t="shared" si="172"/>
        <v>4010.2316403627592</v>
      </c>
      <c r="AP188" s="4">
        <f t="shared" si="173"/>
        <v>16097.938917892307</v>
      </c>
      <c r="AQ188" s="4">
        <f t="shared" si="174"/>
        <v>5.3065694545213786E-3</v>
      </c>
      <c r="AR188" s="4">
        <f t="shared" si="175"/>
        <v>-0.15242814663548027</v>
      </c>
      <c r="AS188" s="4">
        <f t="shared" si="176"/>
        <v>3.8159477390378232E-3</v>
      </c>
      <c r="AT188" s="4">
        <f t="shared" si="177"/>
        <v>1.2370750028175308</v>
      </c>
      <c r="AU188" s="4">
        <f t="shared" si="178"/>
        <v>0.70005333734401831</v>
      </c>
      <c r="AV188" s="4">
        <f t="shared" si="179"/>
        <v>-5.3910144430858826E-3</v>
      </c>
      <c r="AW188" s="4">
        <f t="shared" si="180"/>
        <v>-6.9971551318364194</v>
      </c>
      <c r="AX188" s="4">
        <f t="shared" si="181"/>
        <v>-2.4354192680660929</v>
      </c>
      <c r="AY188" s="4">
        <f t="shared" si="182"/>
        <v>5.9474114370060391</v>
      </c>
      <c r="AZ188" s="4">
        <f t="shared" si="183"/>
        <v>45.707136885904582</v>
      </c>
      <c r="BA188" s="4">
        <f t="shared" si="184"/>
        <v>-0.23004582459377088</v>
      </c>
      <c r="BB188" s="4">
        <f t="shared" si="185"/>
        <v>-7.0781773510694572</v>
      </c>
      <c r="BC188" s="4">
        <f t="shared" si="186"/>
        <v>-4.208270679688364</v>
      </c>
      <c r="BD188" s="4">
        <f t="shared" si="187"/>
        <v>14.599490180316291</v>
      </c>
      <c r="BE188" s="4">
        <f t="shared" si="188"/>
        <v>43.931317357764868</v>
      </c>
      <c r="BF188" s="4">
        <f t="shared" si="189"/>
        <v>-33.045332083819375</v>
      </c>
      <c r="BG188" s="4">
        <f t="shared" si="190"/>
        <v>-2.9195406509616051</v>
      </c>
      <c r="BH188" s="4">
        <f t="shared" si="191"/>
        <v>-52.582310797617417</v>
      </c>
      <c r="BI188" s="4">
        <f t="shared" si="192"/>
        <v>-7.221794170780691</v>
      </c>
      <c r="BJ188" s="4">
        <f t="shared" si="193"/>
        <v>-202.88528051298547</v>
      </c>
      <c r="BK188" s="4">
        <f t="shared" si="194"/>
        <v>0.25000120106725254</v>
      </c>
      <c r="BL188" s="4">
        <f t="shared" si="195"/>
        <v>9.3638718580439839</v>
      </c>
      <c r="BM188" s="4">
        <f t="shared" si="196"/>
        <v>23.089670669803574</v>
      </c>
      <c r="BN188" s="4">
        <f t="shared" si="197"/>
        <v>-12.927626847818635</v>
      </c>
      <c r="BO188" s="4">
        <f t="shared" si="198"/>
        <v>-141.70716214107892</v>
      </c>
      <c r="BP188" s="4">
        <f t="shared" si="199"/>
        <v>-97.647029667152694</v>
      </c>
      <c r="BQ188" s="4">
        <f t="shared" si="200"/>
        <v>-9.9860033620502566</v>
      </c>
      <c r="BR188" s="4">
        <f t="shared" si="201"/>
        <v>60.479812802952914</v>
      </c>
      <c r="BS188" s="4">
        <f t="shared" si="202"/>
        <v>559.71598364289537</v>
      </c>
      <c r="BT188" s="4">
        <f t="shared" si="203"/>
        <v>2494.9694917310021</v>
      </c>
      <c r="BU188" s="4">
        <f t="shared" si="204"/>
        <v>2.2909351732454426</v>
      </c>
      <c r="BV188" s="4">
        <f t="shared" si="205"/>
        <v>39.659318297727467</v>
      </c>
      <c r="BW188" s="4">
        <f t="shared" si="206"/>
        <v>-227.34150804619952</v>
      </c>
      <c r="BX188" s="4">
        <f t="shared" si="207"/>
        <v>-1406.498401717746</v>
      </c>
      <c r="BY188" s="4">
        <f t="shared" si="208"/>
        <v>-4521.0077220589492</v>
      </c>
      <c r="BZ188" s="6">
        <f t="shared" si="209"/>
        <v>-1.6144416544548221</v>
      </c>
      <c r="CA188" s="7"/>
      <c r="CB188" s="6">
        <v>-1.6144411996438071</v>
      </c>
      <c r="CC188" s="6"/>
    </row>
    <row r="189" spans="1:81" x14ac:dyDescent="0.3">
      <c r="A189" s="4">
        <v>187</v>
      </c>
      <c r="B189" s="4">
        <v>72545544</v>
      </c>
      <c r="C189" s="4">
        <v>2.0059999999999998</v>
      </c>
      <c r="D189" s="4">
        <v>2.5579999999999998</v>
      </c>
      <c r="E189" s="4">
        <v>0.41</v>
      </c>
      <c r="F189" s="4">
        <v>2.8879999999999999</v>
      </c>
      <c r="H189" s="6">
        <v>-2618.81325553337</v>
      </c>
      <c r="I189" s="4">
        <f t="shared" si="140"/>
        <v>93.104081012599991</v>
      </c>
      <c r="J189" s="4">
        <f t="shared" si="141"/>
        <v>-1258.864091638</v>
      </c>
      <c r="K189" s="4">
        <f t="shared" si="142"/>
        <v>971.21890599999983</v>
      </c>
      <c r="L189" s="4">
        <f t="shared" si="143"/>
        <v>9332.5896745600003</v>
      </c>
      <c r="M189" s="4">
        <f t="shared" si="144"/>
        <v>15.548315038669516</v>
      </c>
      <c r="N189" s="4">
        <f t="shared" si="145"/>
        <v>12.980839128587958</v>
      </c>
      <c r="O189" s="4">
        <f t="shared" si="146"/>
        <v>-56.610010625679983</v>
      </c>
      <c r="P189" s="4">
        <f t="shared" si="147"/>
        <v>-222.13055718011194</v>
      </c>
      <c r="Q189" s="4">
        <f t="shared" si="148"/>
        <v>-78.526633271029993</v>
      </c>
      <c r="R189" s="4">
        <f t="shared" si="149"/>
        <v>189.78364826507996</v>
      </c>
      <c r="S189" s="4">
        <f t="shared" si="150"/>
        <v>3125.6852036299674</v>
      </c>
      <c r="T189" s="4">
        <f t="shared" si="151"/>
        <v>-69.77338904059998</v>
      </c>
      <c r="U189" s="4">
        <f t="shared" si="152"/>
        <v>-2434.4866082648</v>
      </c>
      <c r="V189" s="4">
        <f t="shared" si="153"/>
        <v>-12399.867581548799</v>
      </c>
      <c r="W189" s="4">
        <f t="shared" si="154"/>
        <v>-0.29210908640298655</v>
      </c>
      <c r="X189" s="4">
        <f t="shared" si="155"/>
        <v>1.3658243797460814</v>
      </c>
      <c r="Y189" s="4">
        <f t="shared" si="156"/>
        <v>0.98131281482874977</v>
      </c>
      <c r="Z189" s="4">
        <f t="shared" si="157"/>
        <v>-30.479160051557454</v>
      </c>
      <c r="AA189" s="4">
        <f t="shared" si="158"/>
        <v>3.0496651995207702</v>
      </c>
      <c r="AB189" s="4">
        <f t="shared" si="159"/>
        <v>-22.67066520328013</v>
      </c>
      <c r="AC189" s="4">
        <f t="shared" si="160"/>
        <v>0.51433276552213936</v>
      </c>
      <c r="AD189" s="4">
        <f t="shared" si="161"/>
        <v>27.667329722022114</v>
      </c>
      <c r="AE189" s="4">
        <f t="shared" si="162"/>
        <v>47.287521314523978</v>
      </c>
      <c r="AF189" s="4">
        <f t="shared" si="163"/>
        <v>199.86428670408225</v>
      </c>
      <c r="AG189" s="4">
        <f t="shared" si="164"/>
        <v>-7.2461295806919859</v>
      </c>
      <c r="AH189" s="4">
        <f t="shared" si="165"/>
        <v>42.391415165131583</v>
      </c>
      <c r="AI189" s="4">
        <f t="shared" si="166"/>
        <v>91.089504896427059</v>
      </c>
      <c r="AJ189" s="4">
        <f t="shared" si="167"/>
        <v>-6.3218264436142384</v>
      </c>
      <c r="AK189" s="4">
        <f t="shared" si="168"/>
        <v>-376.06535996891967</v>
      </c>
      <c r="AL189" s="4">
        <f t="shared" si="169"/>
        <v>-2487.926017300852</v>
      </c>
      <c r="AM189" s="4">
        <f t="shared" si="170"/>
        <v>-20.746543456147993</v>
      </c>
      <c r="AN189" s="4">
        <f t="shared" si="171"/>
        <v>156.98926714848875</v>
      </c>
      <c r="AO189" s="4">
        <f t="shared" si="172"/>
        <v>2044.1981689375821</v>
      </c>
      <c r="AP189" s="4">
        <f t="shared" si="173"/>
        <v>7213.668062962488</v>
      </c>
      <c r="AQ189" s="4">
        <f t="shared" si="174"/>
        <v>1.1950115009103839E-3</v>
      </c>
      <c r="AR189" s="4">
        <f t="shared" si="175"/>
        <v>-2.8299971719675947E-2</v>
      </c>
      <c r="AS189" s="4">
        <f t="shared" si="176"/>
        <v>1.0858855199769723E-3</v>
      </c>
      <c r="AT189" s="4">
        <f t="shared" si="177"/>
        <v>0.30946390294295562</v>
      </c>
      <c r="AU189" s="4">
        <f t="shared" si="178"/>
        <v>0.10715552366871335</v>
      </c>
      <c r="AV189" s="4">
        <f t="shared" si="179"/>
        <v>-1.2647792132781067E-3</v>
      </c>
      <c r="AW189" s="4">
        <f t="shared" si="180"/>
        <v>-1.4431054607945846</v>
      </c>
      <c r="AX189" s="4">
        <f t="shared" si="181"/>
        <v>-0.87574719095084042</v>
      </c>
      <c r="AY189" s="4">
        <f t="shared" si="182"/>
        <v>1.8800324370959147</v>
      </c>
      <c r="AZ189" s="4">
        <f t="shared" si="183"/>
        <v>12.701462197110784</v>
      </c>
      <c r="BA189" s="4">
        <f t="shared" si="184"/>
        <v>-2.9030892528553547E-2</v>
      </c>
      <c r="BB189" s="4">
        <f t="shared" si="185"/>
        <v>-1.3690782289390171</v>
      </c>
      <c r="BC189" s="4">
        <f t="shared" si="186"/>
        <v>-0.71555469226380686</v>
      </c>
      <c r="BD189" s="4">
        <f t="shared" si="187"/>
        <v>4.328179919965323</v>
      </c>
      <c r="BE189" s="4">
        <f t="shared" si="188"/>
        <v>11.449174787995911</v>
      </c>
      <c r="BF189" s="4">
        <f t="shared" si="189"/>
        <v>-7.5708113245970399</v>
      </c>
      <c r="BG189" s="4">
        <f t="shared" si="190"/>
        <v>-1.3266089820844627</v>
      </c>
      <c r="BH189" s="4">
        <f t="shared" si="191"/>
        <v>-21.003923029676891</v>
      </c>
      <c r="BI189" s="4">
        <f t="shared" si="192"/>
        <v>-2.5359354814874577</v>
      </c>
      <c r="BJ189" s="4">
        <f t="shared" si="193"/>
        <v>-62.629072055485707</v>
      </c>
      <c r="BK189" s="4">
        <f t="shared" si="194"/>
        <v>2.6010621436684277E-2</v>
      </c>
      <c r="BL189" s="4">
        <f t="shared" si="195"/>
        <v>1.4932237414485143</v>
      </c>
      <c r="BM189" s="4">
        <f t="shared" si="196"/>
        <v>3.2368271373882438</v>
      </c>
      <c r="BN189" s="4">
        <f t="shared" si="197"/>
        <v>-3.1597230883470697</v>
      </c>
      <c r="BO189" s="4">
        <f t="shared" si="198"/>
        <v>-30.447690761554323</v>
      </c>
      <c r="BP189" s="4">
        <f t="shared" si="199"/>
        <v>-18.443950149023543</v>
      </c>
      <c r="BQ189" s="4">
        <f t="shared" si="200"/>
        <v>-3.7409569890491947</v>
      </c>
      <c r="BR189" s="4">
        <f t="shared" si="201"/>
        <v>19.917452440496319</v>
      </c>
      <c r="BS189" s="4">
        <f t="shared" si="202"/>
        <v>162.0404360247592</v>
      </c>
      <c r="BT189" s="4">
        <f t="shared" si="203"/>
        <v>634.97010238097948</v>
      </c>
      <c r="BU189" s="4">
        <f t="shared" si="204"/>
        <v>1.3154204778378475</v>
      </c>
      <c r="BV189" s="4">
        <f t="shared" si="205"/>
        <v>20.018401097011353</v>
      </c>
      <c r="BW189" s="4">
        <f t="shared" si="206"/>
        <v>-100.87771161884046</v>
      </c>
      <c r="BX189" s="4">
        <f t="shared" si="207"/>
        <v>-548.6407630463018</v>
      </c>
      <c r="BY189" s="4">
        <f t="shared" si="208"/>
        <v>-1550.3024062224217</v>
      </c>
      <c r="BZ189" s="6">
        <f t="shared" si="209"/>
        <v>-2.18858892670778</v>
      </c>
      <c r="CA189" s="7"/>
      <c r="CB189" s="6">
        <v>-2.1885854182255571</v>
      </c>
      <c r="CC189" s="6"/>
    </row>
    <row r="190" spans="1:81" x14ac:dyDescent="0.3">
      <c r="A190" s="4">
        <v>188</v>
      </c>
      <c r="B190" s="4">
        <v>39832274</v>
      </c>
      <c r="C190" s="4">
        <v>2.9119999999999999</v>
      </c>
      <c r="D190" s="4">
        <v>4.4249999999999998</v>
      </c>
      <c r="E190" s="4">
        <v>0.46500000000000002</v>
      </c>
      <c r="F190" s="4">
        <v>3.82</v>
      </c>
      <c r="H190" s="6">
        <v>-2618.81325553337</v>
      </c>
      <c r="I190" s="4">
        <f t="shared" si="140"/>
        <v>135.1540797152</v>
      </c>
      <c r="J190" s="4">
        <f t="shared" si="141"/>
        <v>-2177.6675549249999</v>
      </c>
      <c r="K190" s="4">
        <f t="shared" si="142"/>
        <v>1101.504369</v>
      </c>
      <c r="L190" s="4">
        <f t="shared" si="143"/>
        <v>12344.353378399999</v>
      </c>
      <c r="M190" s="4">
        <f t="shared" si="144"/>
        <v>32.764550605230085</v>
      </c>
      <c r="N190" s="4">
        <f t="shared" si="145"/>
        <v>32.596873311911999</v>
      </c>
      <c r="O190" s="4">
        <f t="shared" si="146"/>
        <v>-93.201472640640006</v>
      </c>
      <c r="P190" s="4">
        <f t="shared" si="147"/>
        <v>-426.51560159935997</v>
      </c>
      <c r="Q190" s="4">
        <f t="shared" si="148"/>
        <v>-234.98624844843746</v>
      </c>
      <c r="R190" s="4">
        <f t="shared" si="149"/>
        <v>372.34079526824996</v>
      </c>
      <c r="S190" s="4">
        <f t="shared" si="150"/>
        <v>7151.9446675845002</v>
      </c>
      <c r="T190" s="4">
        <f t="shared" si="151"/>
        <v>-89.748667729350004</v>
      </c>
      <c r="U190" s="4">
        <f t="shared" si="152"/>
        <v>-3652.0999951530007</v>
      </c>
      <c r="V190" s="4">
        <f t="shared" si="153"/>
        <v>-21694.48751748</v>
      </c>
      <c r="W190" s="4">
        <f t="shared" si="154"/>
        <v>-0.8935654993993728</v>
      </c>
      <c r="X190" s="4">
        <f t="shared" si="155"/>
        <v>4.9788435462275329</v>
      </c>
      <c r="Y190" s="4">
        <f t="shared" si="156"/>
        <v>2.3452948524724992</v>
      </c>
      <c r="Z190" s="4">
        <f t="shared" si="157"/>
        <v>-84.955216781199567</v>
      </c>
      <c r="AA190" s="4">
        <f t="shared" si="158"/>
        <v>13.247626513719778</v>
      </c>
      <c r="AB190" s="4">
        <f t="shared" si="159"/>
        <v>-64.566394662042001</v>
      </c>
      <c r="AC190" s="4">
        <f t="shared" si="160"/>
        <v>1.7083763190713854</v>
      </c>
      <c r="AD190" s="4">
        <f t="shared" si="161"/>
        <v>51.661365371310247</v>
      </c>
      <c r="AE190" s="4">
        <f t="shared" si="162"/>
        <v>102.97748055879649</v>
      </c>
      <c r="AF190" s="4">
        <f t="shared" si="163"/>
        <v>507.60745054061954</v>
      </c>
      <c r="AG190" s="4">
        <f t="shared" si="164"/>
        <v>-37.509761331918561</v>
      </c>
      <c r="AH190" s="4">
        <f t="shared" si="165"/>
        <v>143.87074117175811</v>
      </c>
      <c r="AI190" s="4">
        <f t="shared" si="166"/>
        <v>360.54542185550434</v>
      </c>
      <c r="AJ190" s="4">
        <f t="shared" si="167"/>
        <v>-14.0667411549015</v>
      </c>
      <c r="AK190" s="4">
        <f t="shared" si="168"/>
        <v>-975.91352472152994</v>
      </c>
      <c r="AL190" s="4">
        <f t="shared" si="169"/>
        <v>-7529.7844590224404</v>
      </c>
      <c r="AM190" s="4">
        <f t="shared" si="170"/>
        <v>-30.265861375264503</v>
      </c>
      <c r="AN190" s="4">
        <f t="shared" si="171"/>
        <v>267.10027087959446</v>
      </c>
      <c r="AO190" s="4">
        <f t="shared" si="172"/>
        <v>4056.2474314678329</v>
      </c>
      <c r="AP190" s="4">
        <f t="shared" si="173"/>
        <v>16693.779638335425</v>
      </c>
      <c r="AQ190" s="4">
        <f t="shared" si="174"/>
        <v>5.3065694545213786E-3</v>
      </c>
      <c r="AR190" s="4">
        <f t="shared" si="175"/>
        <v>-0.14975456235834816</v>
      </c>
      <c r="AS190" s="4">
        <f t="shared" si="176"/>
        <v>3.7673369398144121E-3</v>
      </c>
      <c r="AT190" s="4">
        <f t="shared" si="177"/>
        <v>1.2521532884904525</v>
      </c>
      <c r="AU190" s="4">
        <f t="shared" si="178"/>
        <v>0.67571088766427667</v>
      </c>
      <c r="AV190" s="4">
        <f t="shared" si="179"/>
        <v>-5.2289854611209437E-3</v>
      </c>
      <c r="AW190" s="4">
        <f t="shared" si="180"/>
        <v>-6.9582153066435737</v>
      </c>
      <c r="AX190" s="4">
        <f t="shared" si="181"/>
        <v>-2.3737655854309665</v>
      </c>
      <c r="AY190" s="4">
        <f t="shared" si="182"/>
        <v>5.9432157535320034</v>
      </c>
      <c r="AZ190" s="4">
        <f t="shared" si="183"/>
        <v>46.828144727576685</v>
      </c>
      <c r="BA190" s="4">
        <f t="shared" si="184"/>
        <v>-0.21815191749024762</v>
      </c>
      <c r="BB190" s="4">
        <f t="shared" si="185"/>
        <v>-6.7450204740052131</v>
      </c>
      <c r="BC190" s="4">
        <f t="shared" si="186"/>
        <v>-4.1114491158808919</v>
      </c>
      <c r="BD190" s="4">
        <f t="shared" si="187"/>
        <v>13.980305926385745</v>
      </c>
      <c r="BE190" s="4">
        <f t="shared" si="188"/>
        <v>43.130315255605247</v>
      </c>
      <c r="BF190" s="4">
        <f t="shared" si="189"/>
        <v>-33.261968501998012</v>
      </c>
      <c r="BG190" s="4">
        <f t="shared" si="190"/>
        <v>-2.8093811486776636</v>
      </c>
      <c r="BH190" s="4">
        <f t="shared" si="191"/>
        <v>-51.87585007341697</v>
      </c>
      <c r="BI190" s="4">
        <f t="shared" si="192"/>
        <v>-7.3046613469861086</v>
      </c>
      <c r="BJ190" s="4">
        <f t="shared" si="193"/>
        <v>-210.39477053681702</v>
      </c>
      <c r="BK190" s="4">
        <f t="shared" si="194"/>
        <v>0.23291725753240325</v>
      </c>
      <c r="BL190" s="4">
        <f t="shared" si="195"/>
        <v>8.7666201063753029</v>
      </c>
      <c r="BM190" s="4">
        <f t="shared" si="196"/>
        <v>22.162762128765475</v>
      </c>
      <c r="BN190" s="4">
        <f t="shared" si="197"/>
        <v>-12.162215259280075</v>
      </c>
      <c r="BO190" s="4">
        <f t="shared" si="198"/>
        <v>-136.68318810603475</v>
      </c>
      <c r="BP190" s="4">
        <f t="shared" si="199"/>
        <v>-96.563224047856863</v>
      </c>
      <c r="BQ190" s="4">
        <f t="shared" si="200"/>
        <v>-9.4406682900583156</v>
      </c>
      <c r="BR190" s="4">
        <f t="shared" si="201"/>
        <v>58.620685144655781</v>
      </c>
      <c r="BS190" s="4">
        <f t="shared" si="202"/>
        <v>556.20844971303575</v>
      </c>
      <c r="BT190" s="4">
        <f t="shared" si="203"/>
        <v>2541.9355439262008</v>
      </c>
      <c r="BU190" s="4">
        <f t="shared" si="204"/>
        <v>2.1764113552989861</v>
      </c>
      <c r="BV190" s="4">
        <f t="shared" si="205"/>
        <v>38.628055723393352</v>
      </c>
      <c r="BW190" s="4">
        <f t="shared" si="206"/>
        <v>-227.02085878088906</v>
      </c>
      <c r="BX190" s="4">
        <f t="shared" si="207"/>
        <v>-1439.9774463095109</v>
      </c>
      <c r="BY190" s="4">
        <f t="shared" si="208"/>
        <v>-4745.490596579627</v>
      </c>
      <c r="BZ190" s="6">
        <f t="shared" si="209"/>
        <v>-1.7432325879517521</v>
      </c>
      <c r="CA190" s="7"/>
      <c r="CB190" s="6">
        <v>-1.7432322084932821</v>
      </c>
      <c r="CC190" s="6"/>
    </row>
    <row r="191" spans="1:81" x14ac:dyDescent="0.3">
      <c r="A191" s="4">
        <v>189</v>
      </c>
      <c r="B191" s="4">
        <v>72735411</v>
      </c>
      <c r="C191" s="4">
        <v>2.9790000000000001</v>
      </c>
      <c r="D191" s="4">
        <v>4.3140000000000001</v>
      </c>
      <c r="E191" s="4">
        <v>0.54400000000000004</v>
      </c>
      <c r="F191" s="4">
        <v>3.9009999999999998</v>
      </c>
      <c r="H191" s="6">
        <v>-2618.81325553337</v>
      </c>
      <c r="I191" s="4">
        <f t="shared" si="140"/>
        <v>138.26373745590001</v>
      </c>
      <c r="J191" s="4">
        <f t="shared" si="141"/>
        <v>-2123.0413179540001</v>
      </c>
      <c r="K191" s="4">
        <f t="shared" si="142"/>
        <v>1288.6416704000001</v>
      </c>
      <c r="L191" s="4">
        <f t="shared" si="143"/>
        <v>12606.105374119999</v>
      </c>
      <c r="M191" s="4">
        <f t="shared" si="144"/>
        <v>34.289604879301628</v>
      </c>
      <c r="N191" s="4">
        <f t="shared" si="145"/>
        <v>32.510372296357616</v>
      </c>
      <c r="O191" s="4">
        <f t="shared" si="146"/>
        <v>-111.54442110220801</v>
      </c>
      <c r="P191" s="4">
        <f t="shared" si="147"/>
        <v>-445.58097751484098</v>
      </c>
      <c r="Q191" s="4">
        <f t="shared" si="148"/>
        <v>-223.34497164567003</v>
      </c>
      <c r="R191" s="4">
        <f t="shared" si="149"/>
        <v>424.67181133017601</v>
      </c>
      <c r="S191" s="4">
        <f t="shared" si="150"/>
        <v>7120.3870052674383</v>
      </c>
      <c r="T191" s="4">
        <f t="shared" si="151"/>
        <v>-122.834370369536</v>
      </c>
      <c r="U191" s="4">
        <f t="shared" si="152"/>
        <v>-4363.1605540246401</v>
      </c>
      <c r="V191" s="4">
        <f t="shared" si="153"/>
        <v>-22624.269745757694</v>
      </c>
      <c r="W191" s="4">
        <f t="shared" si="154"/>
        <v>-0.9566736011511997</v>
      </c>
      <c r="X191" s="4">
        <f t="shared" si="155"/>
        <v>5.0798818362383926</v>
      </c>
      <c r="Y191" s="4">
        <f t="shared" si="156"/>
        <v>2.8714526705923307</v>
      </c>
      <c r="Z191" s="4">
        <f t="shared" si="157"/>
        <v>-90.794785083052233</v>
      </c>
      <c r="AA191" s="4">
        <f t="shared" si="158"/>
        <v>12.881040322014284</v>
      </c>
      <c r="AB191" s="4">
        <f t="shared" si="159"/>
        <v>-75.335292969600673</v>
      </c>
      <c r="AC191" s="4">
        <f t="shared" si="160"/>
        <v>1.7399714746849939</v>
      </c>
      <c r="AD191" s="4">
        <f t="shared" si="161"/>
        <v>72.333071366471899</v>
      </c>
      <c r="AE191" s="4">
        <f t="shared" si="162"/>
        <v>125.85774000846646</v>
      </c>
      <c r="AF191" s="4">
        <f t="shared" si="163"/>
        <v>541.54218800022602</v>
      </c>
      <c r="AG191" s="4">
        <f t="shared" si="164"/>
        <v>-34.757209211204824</v>
      </c>
      <c r="AH191" s="4">
        <f t="shared" si="165"/>
        <v>159.9750148728437</v>
      </c>
      <c r="AI191" s="4">
        <f t="shared" si="166"/>
        <v>349.95024685410175</v>
      </c>
      <c r="AJ191" s="4">
        <f t="shared" si="167"/>
        <v>-18.769480625853237</v>
      </c>
      <c r="AK191" s="4">
        <f t="shared" si="168"/>
        <v>-1136.6761213177106</v>
      </c>
      <c r="AL191" s="4">
        <f t="shared" si="169"/>
        <v>-7655.5180567309862</v>
      </c>
      <c r="AM191" s="4">
        <f t="shared" si="170"/>
        <v>-48.460833444462601</v>
      </c>
      <c r="AN191" s="4">
        <f t="shared" si="171"/>
        <v>373.31789597872023</v>
      </c>
      <c r="AO191" s="4">
        <f t="shared" si="172"/>
        <v>4948.7505239946968</v>
      </c>
      <c r="AP191" s="4">
        <f t="shared" si="173"/>
        <v>17778.390394735201</v>
      </c>
      <c r="AQ191" s="4">
        <f t="shared" si="174"/>
        <v>5.8120639357663404E-3</v>
      </c>
      <c r="AR191" s="4">
        <f t="shared" si="175"/>
        <v>-0.15630912276277686</v>
      </c>
      <c r="AS191" s="4">
        <f t="shared" si="176"/>
        <v>4.7186504698055352E-3</v>
      </c>
      <c r="AT191" s="4">
        <f t="shared" si="177"/>
        <v>1.3690127206287666</v>
      </c>
      <c r="AU191" s="4">
        <f t="shared" si="178"/>
        <v>0.67212943218772025</v>
      </c>
      <c r="AV191" s="4">
        <f t="shared" si="179"/>
        <v>-6.2414933480013672E-3</v>
      </c>
      <c r="AW191" s="4">
        <f t="shared" si="180"/>
        <v>-7.2499595113672353</v>
      </c>
      <c r="AX191" s="4">
        <f t="shared" si="181"/>
        <v>-3.4000710150920357</v>
      </c>
      <c r="AY191" s="4">
        <f t="shared" si="182"/>
        <v>7.430846598445136</v>
      </c>
      <c r="AZ191" s="4">
        <f t="shared" si="183"/>
        <v>51.108177197342272</v>
      </c>
      <c r="BA191" s="4">
        <f t="shared" si="184"/>
        <v>-0.20679439550507003</v>
      </c>
      <c r="BB191" s="4">
        <f t="shared" si="185"/>
        <v>-7.6725916198430575</v>
      </c>
      <c r="BC191" s="4">
        <f t="shared" si="186"/>
        <v>-4.0824452693887059</v>
      </c>
      <c r="BD191" s="4">
        <f t="shared" si="187"/>
        <v>19.083347863146052</v>
      </c>
      <c r="BE191" s="4">
        <f t="shared" si="188"/>
        <v>51.391011423466921</v>
      </c>
      <c r="BF191" s="4">
        <f t="shared" si="189"/>
        <v>-34.595460913846964</v>
      </c>
      <c r="BG191" s="4">
        <f t="shared" si="190"/>
        <v>-4.6017989103073926</v>
      </c>
      <c r="BH191" s="4">
        <f t="shared" si="191"/>
        <v>-74.173511547958455</v>
      </c>
      <c r="BI191" s="4">
        <f t="shared" si="192"/>
        <v>-9.1169661115505019</v>
      </c>
      <c r="BJ191" s="4">
        <f t="shared" si="193"/>
        <v>-229.21964510763388</v>
      </c>
      <c r="BK191" s="4">
        <f t="shared" si="194"/>
        <v>0.21041133450583802</v>
      </c>
      <c r="BL191" s="4">
        <f t="shared" si="195"/>
        <v>9.5033939170387178</v>
      </c>
      <c r="BM191" s="4">
        <f t="shared" si="196"/>
        <v>20.971865792808572</v>
      </c>
      <c r="BN191" s="4">
        <f t="shared" si="197"/>
        <v>-15.821159570746687</v>
      </c>
      <c r="BO191" s="4">
        <f t="shared" si="198"/>
        <v>-155.20559238265332</v>
      </c>
      <c r="BP191" s="4">
        <f t="shared" si="199"/>
        <v>-95.712941587976601</v>
      </c>
      <c r="BQ191" s="4">
        <f t="shared" si="200"/>
        <v>-14.736944385198139</v>
      </c>
      <c r="BR191" s="4">
        <f t="shared" si="201"/>
        <v>79.877090385361512</v>
      </c>
      <c r="BS191" s="4">
        <f t="shared" si="202"/>
        <v>661.5696441222924</v>
      </c>
      <c r="BT191" s="4">
        <f t="shared" si="203"/>
        <v>2639.1809141595641</v>
      </c>
      <c r="BU191" s="4">
        <f t="shared" si="204"/>
        <v>4.0768503536972478</v>
      </c>
      <c r="BV191" s="4">
        <f t="shared" si="205"/>
        <v>63.161622411302019</v>
      </c>
      <c r="BW191" s="4">
        <f t="shared" si="206"/>
        <v>-324.02821667768376</v>
      </c>
      <c r="BX191" s="4">
        <f t="shared" si="207"/>
        <v>-1794.070061607357</v>
      </c>
      <c r="BY191" s="4">
        <f t="shared" si="208"/>
        <v>-5160.9715707061832</v>
      </c>
      <c r="BZ191" s="6">
        <f t="shared" si="209"/>
        <v>-1.7105025327573458</v>
      </c>
      <c r="CA191" s="7"/>
      <c r="CB191" s="6">
        <v>-1.7105027806996991</v>
      </c>
      <c r="CC191" s="6"/>
    </row>
    <row r="192" spans="1:81" x14ac:dyDescent="0.3">
      <c r="A192" s="4">
        <v>190</v>
      </c>
      <c r="B192" s="4">
        <v>46193737</v>
      </c>
      <c r="C192" s="4">
        <v>5.1550000000000002</v>
      </c>
      <c r="D192" s="4">
        <v>4.6020000000000003</v>
      </c>
      <c r="E192" s="4">
        <v>0.83199999999999996</v>
      </c>
      <c r="F192" s="4">
        <v>3.0830000000000002</v>
      </c>
      <c r="H192" s="6">
        <v>-2618.81325553337</v>
      </c>
      <c r="I192" s="4">
        <f t="shared" si="140"/>
        <v>239.25799482550002</v>
      </c>
      <c r="J192" s="4">
        <f t="shared" si="141"/>
        <v>-2264.7742571220001</v>
      </c>
      <c r="K192" s="4">
        <f t="shared" si="142"/>
        <v>1970.8637311999998</v>
      </c>
      <c r="L192" s="4">
        <f t="shared" si="143"/>
        <v>9962.7333679600015</v>
      </c>
      <c r="M192" s="4">
        <f t="shared" si="144"/>
        <v>102.67833402720052</v>
      </c>
      <c r="N192" s="4">
        <f t="shared" si="145"/>
        <v>60.013172115323698</v>
      </c>
      <c r="O192" s="4">
        <f t="shared" si="146"/>
        <v>-295.20958000767996</v>
      </c>
      <c r="P192" s="4">
        <f t="shared" si="147"/>
        <v>-609.37184251233509</v>
      </c>
      <c r="Q192" s="4">
        <f t="shared" si="148"/>
        <v>-254.16112632183004</v>
      </c>
      <c r="R192" s="4">
        <f t="shared" si="149"/>
        <v>692.85815769830401</v>
      </c>
      <c r="S192" s="4">
        <f t="shared" si="150"/>
        <v>6002.9903734475229</v>
      </c>
      <c r="T192" s="4">
        <f t="shared" si="151"/>
        <v>-287.32191823462398</v>
      </c>
      <c r="U192" s="4">
        <f t="shared" si="152"/>
        <v>-5273.7944070073609</v>
      </c>
      <c r="V192" s="4">
        <f t="shared" si="153"/>
        <v>-14130.896615055301</v>
      </c>
      <c r="W192" s="4">
        <f t="shared" si="154"/>
        <v>-4.9572210962621543</v>
      </c>
      <c r="X192" s="4">
        <f t="shared" si="155"/>
        <v>16.226932013900502</v>
      </c>
      <c r="Y192" s="4">
        <f t="shared" si="156"/>
        <v>13.150504726873177</v>
      </c>
      <c r="Z192" s="4">
        <f t="shared" si="157"/>
        <v>-214.86951927560179</v>
      </c>
      <c r="AA192" s="4">
        <f t="shared" si="158"/>
        <v>25.36541973762661</v>
      </c>
      <c r="AB192" s="4">
        <f t="shared" si="159"/>
        <v>-212.69023352512417</v>
      </c>
      <c r="AC192" s="4">
        <f t="shared" si="160"/>
        <v>2.5384250381636555</v>
      </c>
      <c r="AD192" s="4">
        <f t="shared" si="161"/>
        <v>292.78169845952101</v>
      </c>
      <c r="AE192" s="4">
        <f t="shared" si="162"/>
        <v>263.24497897894935</v>
      </c>
      <c r="AF192" s="4">
        <f t="shared" si="163"/>
        <v>585.30955048642988</v>
      </c>
      <c r="AG192" s="4">
        <f t="shared" si="164"/>
        <v>-42.193380170867258</v>
      </c>
      <c r="AH192" s="4">
        <f t="shared" si="165"/>
        <v>278.4258363826728</v>
      </c>
      <c r="AI192" s="4">
        <f t="shared" si="166"/>
        <v>314.72904630468344</v>
      </c>
      <c r="AJ192" s="4">
        <f t="shared" si="167"/>
        <v>-46.834682679518821</v>
      </c>
      <c r="AK192" s="4">
        <f t="shared" si="168"/>
        <v>-1465.6329199745726</v>
      </c>
      <c r="AL192" s="4">
        <f t="shared" si="169"/>
        <v>-5100.7754787430913</v>
      </c>
      <c r="AM192" s="4">
        <f t="shared" si="170"/>
        <v>-173.36609171990116</v>
      </c>
      <c r="AN192" s="4">
        <f t="shared" si="171"/>
        <v>690.12099067173676</v>
      </c>
      <c r="AO192" s="4">
        <f t="shared" si="172"/>
        <v>4727.3214669521394</v>
      </c>
      <c r="AP192" s="4">
        <f t="shared" si="173"/>
        <v>8775.7685726763011</v>
      </c>
      <c r="AQ192" s="4">
        <f t="shared" si="174"/>
        <v>5.2115036796089351E-2</v>
      </c>
      <c r="AR192" s="4">
        <f t="shared" si="175"/>
        <v>-0.86402299029521412</v>
      </c>
      <c r="AS192" s="4">
        <f t="shared" si="176"/>
        <v>3.7395275259481831E-2</v>
      </c>
      <c r="AT192" s="4">
        <f t="shared" si="177"/>
        <v>5.6063416121652843</v>
      </c>
      <c r="AU192" s="4">
        <f t="shared" si="178"/>
        <v>2.2903517884646285</v>
      </c>
      <c r="AV192" s="4">
        <f t="shared" si="179"/>
        <v>-3.0492690447325981E-2</v>
      </c>
      <c r="AW192" s="4">
        <f t="shared" si="180"/>
        <v>-18.302733745915461</v>
      </c>
      <c r="AX192" s="4">
        <f t="shared" si="181"/>
        <v>-23.815141922320009</v>
      </c>
      <c r="AY192" s="4">
        <f t="shared" si="182"/>
        <v>26.895314662498741</v>
      </c>
      <c r="AZ192" s="4">
        <f t="shared" si="183"/>
        <v>95.587669543969739</v>
      </c>
      <c r="BA192" s="4">
        <f t="shared" si="184"/>
        <v>-0.43440653658952316</v>
      </c>
      <c r="BB192" s="4">
        <f t="shared" si="185"/>
        <v>-23.107748028169727</v>
      </c>
      <c r="BC192" s="4">
        <f t="shared" si="186"/>
        <v>-6.353441845847696</v>
      </c>
      <c r="BD192" s="4">
        <f t="shared" si="187"/>
        <v>82.400160972892209</v>
      </c>
      <c r="BE192" s="4">
        <f t="shared" si="188"/>
        <v>114.66577377942366</v>
      </c>
      <c r="BF192" s="4">
        <f t="shared" si="189"/>
        <v>-39.887692199793591</v>
      </c>
      <c r="BG192" s="4">
        <f t="shared" si="190"/>
        <v>-28.487811243818733</v>
      </c>
      <c r="BH192" s="4">
        <f t="shared" si="191"/>
        <v>-237.27579326982971</v>
      </c>
      <c r="BI192" s="4">
        <f t="shared" si="192"/>
        <v>-15.070514609471386</v>
      </c>
      <c r="BJ192" s="4">
        <f t="shared" si="193"/>
        <v>-195.7955087101079</v>
      </c>
      <c r="BK192" s="4">
        <f t="shared" si="194"/>
        <v>0.27248024749600658</v>
      </c>
      <c r="BL192" s="4">
        <f t="shared" si="195"/>
        <v>17.64422464294411</v>
      </c>
      <c r="BM192" s="4">
        <f t="shared" si="196"/>
        <v>20.120282072814017</v>
      </c>
      <c r="BN192" s="4">
        <f t="shared" si="197"/>
        <v>-42.113381167599059</v>
      </c>
      <c r="BO192" s="4">
        <f t="shared" si="198"/>
        <v>-213.48251665898499</v>
      </c>
      <c r="BP192" s="4">
        <f t="shared" si="199"/>
        <v>-68.029731949731556</v>
      </c>
      <c r="BQ192" s="4">
        <f t="shared" si="200"/>
        <v>-56.24024421949543</v>
      </c>
      <c r="BR192" s="4">
        <f t="shared" si="201"/>
        <v>157.51979501768267</v>
      </c>
      <c r="BS192" s="4">
        <f t="shared" si="202"/>
        <v>674.15788519000603</v>
      </c>
      <c r="BT192" s="4">
        <f t="shared" si="203"/>
        <v>1389.7233631434199</v>
      </c>
      <c r="BU192" s="4">
        <f t="shared" si="204"/>
        <v>22.306040004683286</v>
      </c>
      <c r="BV192" s="4">
        <f t="shared" si="205"/>
        <v>178.57642782256528</v>
      </c>
      <c r="BW192" s="4">
        <f t="shared" si="206"/>
        <v>-473.39845109518137</v>
      </c>
      <c r="BX192" s="4">
        <f t="shared" si="207"/>
        <v>-1354.4299507659553</v>
      </c>
      <c r="BY192" s="4">
        <f t="shared" si="208"/>
        <v>-2013.3615220199051</v>
      </c>
      <c r="BZ192" s="6">
        <f t="shared" si="209"/>
        <v>-1.9094601329650231</v>
      </c>
      <c r="CA192" s="7"/>
      <c r="CB192" s="6">
        <v>-1.9094612729504661</v>
      </c>
      <c r="CC192" s="6"/>
    </row>
    <row r="193" spans="1:81" x14ac:dyDescent="0.3">
      <c r="A193" s="4">
        <v>191</v>
      </c>
      <c r="B193" s="4">
        <v>72545539</v>
      </c>
      <c r="C193" s="4">
        <v>2.4369999999999998</v>
      </c>
      <c r="D193" s="4">
        <v>3.0329999999999999</v>
      </c>
      <c r="E193" s="4">
        <v>0.38700000000000001</v>
      </c>
      <c r="F193" s="4">
        <v>3.2519999999999998</v>
      </c>
      <c r="H193" s="6">
        <v>-2618.81325553337</v>
      </c>
      <c r="I193" s="4">
        <f t="shared" si="140"/>
        <v>113.1079987177</v>
      </c>
      <c r="J193" s="4">
        <f t="shared" si="141"/>
        <v>-1492.625015613</v>
      </c>
      <c r="K193" s="4">
        <f t="shared" si="142"/>
        <v>916.73589419999996</v>
      </c>
      <c r="L193" s="4">
        <f t="shared" si="143"/>
        <v>10508.857902239999</v>
      </c>
      <c r="M193" s="4">
        <f t="shared" si="144"/>
        <v>22.947349630294578</v>
      </c>
      <c r="N193" s="4">
        <f t="shared" si="145"/>
        <v>18.698175787856666</v>
      </c>
      <c r="O193" s="4">
        <f t="shared" si="146"/>
        <v>-64.914982626851994</v>
      </c>
      <c r="P193" s="4">
        <f t="shared" si="147"/>
        <v>-303.86890054239592</v>
      </c>
      <c r="Q193" s="4">
        <f t="shared" si="148"/>
        <v>-110.3978761277175</v>
      </c>
      <c r="R193" s="4">
        <f t="shared" si="149"/>
        <v>212.40159290580598</v>
      </c>
      <c r="S193" s="4">
        <f t="shared" si="150"/>
        <v>4173.2120727009715</v>
      </c>
      <c r="T193" s="4">
        <f t="shared" si="151"/>
        <v>-62.164727562294004</v>
      </c>
      <c r="U193" s="4">
        <f t="shared" si="152"/>
        <v>-2587.5446120024403</v>
      </c>
      <c r="V193" s="4">
        <f t="shared" si="153"/>
        <v>-15722.577473140798</v>
      </c>
      <c r="W193" s="4">
        <f t="shared" si="154"/>
        <v>-0.5237437674900246</v>
      </c>
      <c r="X193" s="4">
        <f t="shared" si="155"/>
        <v>2.3900992285425269</v>
      </c>
      <c r="Y193" s="4">
        <f t="shared" si="156"/>
        <v>1.3670480494918571</v>
      </c>
      <c r="Z193" s="4">
        <f t="shared" si="157"/>
        <v>-50.65304330763616</v>
      </c>
      <c r="AA193" s="4">
        <f t="shared" si="158"/>
        <v>5.2085939814890176</v>
      </c>
      <c r="AB193" s="4">
        <f t="shared" si="159"/>
        <v>-30.823918120407658</v>
      </c>
      <c r="AC193" s="4">
        <f t="shared" si="160"/>
        <v>0.8342457648538294</v>
      </c>
      <c r="AD193" s="4">
        <f t="shared" si="161"/>
        <v>29.946499406065456</v>
      </c>
      <c r="AE193" s="4">
        <f t="shared" si="162"/>
        <v>61.059269878521079</v>
      </c>
      <c r="AF193" s="4">
        <f t="shared" si="163"/>
        <v>307.86937816473062</v>
      </c>
      <c r="AG193" s="4">
        <f t="shared" si="164"/>
        <v>-12.07874204851797</v>
      </c>
      <c r="AH193" s="4">
        <f t="shared" si="165"/>
        <v>56.25339830935107</v>
      </c>
      <c r="AI193" s="4">
        <f t="shared" si="166"/>
        <v>144.20005628453845</v>
      </c>
      <c r="AJ193" s="4">
        <f t="shared" si="167"/>
        <v>-6.6783419980983574</v>
      </c>
      <c r="AK193" s="4">
        <f t="shared" si="168"/>
        <v>-473.93159053995947</v>
      </c>
      <c r="AL193" s="4">
        <f t="shared" si="169"/>
        <v>-3740.3825993401006</v>
      </c>
      <c r="AM193" s="4">
        <f t="shared" si="170"/>
        <v>-17.447253651050364</v>
      </c>
      <c r="AN193" s="4">
        <f t="shared" si="171"/>
        <v>157.49890064629716</v>
      </c>
      <c r="AO193" s="4">
        <f t="shared" si="172"/>
        <v>2446.5652296271032</v>
      </c>
      <c r="AP193" s="4">
        <f t="shared" si="173"/>
        <v>10299.501340200773</v>
      </c>
      <c r="AQ193" s="4">
        <f t="shared" si="174"/>
        <v>2.6029779368854414E-3</v>
      </c>
      <c r="AR193" s="4">
        <f t="shared" si="175"/>
        <v>-6.0163303269463148E-2</v>
      </c>
      <c r="AS193" s="4">
        <f t="shared" si="176"/>
        <v>1.8377437386838662E-3</v>
      </c>
      <c r="AT193" s="4">
        <f t="shared" si="177"/>
        <v>0.624794428389289</v>
      </c>
      <c r="AU193" s="4">
        <f t="shared" si="178"/>
        <v>0.22233483085436404</v>
      </c>
      <c r="AV193" s="4">
        <f t="shared" si="179"/>
        <v>-2.0891176526634712E-3</v>
      </c>
      <c r="AW193" s="4">
        <f t="shared" si="180"/>
        <v>-2.8436260840733363</v>
      </c>
      <c r="AX193" s="4">
        <f t="shared" si="181"/>
        <v>-1.151548331874412</v>
      </c>
      <c r="AY193" s="4">
        <f t="shared" si="182"/>
        <v>2.9491373523644424</v>
      </c>
      <c r="AZ193" s="4">
        <f t="shared" si="183"/>
        <v>23.768929200177922</v>
      </c>
      <c r="BA193" s="4">
        <f t="shared" si="184"/>
        <v>-5.8789612689458842E-2</v>
      </c>
      <c r="BB193" s="4">
        <f t="shared" si="185"/>
        <v>-2.207108653414914</v>
      </c>
      <c r="BC193" s="4">
        <f t="shared" si="186"/>
        <v>-1.3761460339082003</v>
      </c>
      <c r="BD193" s="4">
        <f t="shared" si="187"/>
        <v>5.5546409700717607</v>
      </c>
      <c r="BE193" s="4">
        <f t="shared" si="188"/>
        <v>17.528756679619555</v>
      </c>
      <c r="BF193" s="4">
        <f t="shared" si="189"/>
        <v>-13.827561215633667</v>
      </c>
      <c r="BG193" s="4">
        <f t="shared" si="190"/>
        <v>-1.3553418819919634</v>
      </c>
      <c r="BH193" s="4">
        <f t="shared" si="191"/>
        <v>-25.599564858714622</v>
      </c>
      <c r="BI193" s="4">
        <f t="shared" si="192"/>
        <v>-3.6871992349727063</v>
      </c>
      <c r="BJ193" s="4">
        <f t="shared" si="193"/>
        <v>-108.63271195527858</v>
      </c>
      <c r="BK193" s="4">
        <f t="shared" si="194"/>
        <v>5.1408887886670251E-2</v>
      </c>
      <c r="BL193" s="4">
        <f t="shared" si="195"/>
        <v>2.3494575638622588</v>
      </c>
      <c r="BM193" s="4">
        <f t="shared" si="196"/>
        <v>6.0755900903184301</v>
      </c>
      <c r="BN193" s="4">
        <f t="shared" si="197"/>
        <v>-3.9577374511021932</v>
      </c>
      <c r="BO193" s="4">
        <f t="shared" si="198"/>
        <v>-45.496559572514983</v>
      </c>
      <c r="BP193" s="4">
        <f t="shared" si="199"/>
        <v>-32.877923158750335</v>
      </c>
      <c r="BQ193" s="4">
        <f t="shared" si="200"/>
        <v>-3.7302325727808063</v>
      </c>
      <c r="BR193" s="4">
        <f t="shared" si="201"/>
        <v>23.692627346344942</v>
      </c>
      <c r="BS193" s="4">
        <f t="shared" si="202"/>
        <v>229.94770404868632</v>
      </c>
      <c r="BT193" s="4">
        <f t="shared" si="203"/>
        <v>1074.9423943065951</v>
      </c>
      <c r="BU193" s="4">
        <f t="shared" si="204"/>
        <v>1.0441743765445677</v>
      </c>
      <c r="BV193" s="4">
        <f t="shared" si="205"/>
        <v>18.956757723569215</v>
      </c>
      <c r="BW193" s="4">
        <f t="shared" si="206"/>
        <v>-113.96096929680246</v>
      </c>
      <c r="BX193" s="4">
        <f t="shared" si="207"/>
        <v>-739.39281181252227</v>
      </c>
      <c r="BY193" s="4">
        <f t="shared" si="208"/>
        <v>-2492.4692737864971</v>
      </c>
      <c r="BZ193" s="6">
        <f t="shared" si="209"/>
        <v>-1.7452396052271979</v>
      </c>
      <c r="CA193" s="7"/>
      <c r="CB193" s="6">
        <v>-1.7452360356046479</v>
      </c>
      <c r="CC193" s="6"/>
    </row>
    <row r="194" spans="1:81" x14ac:dyDescent="0.3">
      <c r="A194" s="4">
        <v>192</v>
      </c>
      <c r="B194" s="4">
        <v>25048609</v>
      </c>
      <c r="C194" s="4">
        <v>2.5880000000000001</v>
      </c>
      <c r="D194" s="4">
        <v>4.2140000000000004</v>
      </c>
      <c r="E194" s="4">
        <v>0.502</v>
      </c>
      <c r="F194" s="4">
        <v>3.8050000000000002</v>
      </c>
      <c r="H194" s="6">
        <v>-2618.81325553337</v>
      </c>
      <c r="I194" s="4">
        <f t="shared" si="140"/>
        <v>120.11633183480001</v>
      </c>
      <c r="J194" s="4">
        <f t="shared" si="141"/>
        <v>-2073.8284918540003</v>
      </c>
      <c r="K194" s="4">
        <f t="shared" si="142"/>
        <v>1189.1509532</v>
      </c>
      <c r="L194" s="4">
        <f t="shared" si="143"/>
        <v>12295.880786600001</v>
      </c>
      <c r="M194" s="4">
        <f t="shared" si="144"/>
        <v>25.879150623990082</v>
      </c>
      <c r="N194" s="4">
        <f t="shared" si="145"/>
        <v>27.58862793079064</v>
      </c>
      <c r="O194" s="4">
        <f t="shared" si="146"/>
        <v>-89.422424391007993</v>
      </c>
      <c r="P194" s="4">
        <f t="shared" si="147"/>
        <v>-377.57142715585996</v>
      </c>
      <c r="Q194" s="4">
        <f t="shared" si="148"/>
        <v>-213.11055508967004</v>
      </c>
      <c r="R194" s="4">
        <f t="shared" si="149"/>
        <v>382.80062880880803</v>
      </c>
      <c r="S194" s="4">
        <f t="shared" si="150"/>
        <v>6784.1696586570915</v>
      </c>
      <c r="T194" s="4">
        <f t="shared" si="151"/>
        <v>-104.599483234904</v>
      </c>
      <c r="U194" s="4">
        <f t="shared" si="152"/>
        <v>-3927.2154037841005</v>
      </c>
      <c r="V194" s="4">
        <f t="shared" si="153"/>
        <v>-21524.446468042501</v>
      </c>
      <c r="W194" s="4">
        <f t="shared" si="154"/>
        <v>-0.62725639304322733</v>
      </c>
      <c r="X194" s="4">
        <f t="shared" si="155"/>
        <v>3.7450320460936193</v>
      </c>
      <c r="Y194" s="4">
        <f t="shared" si="156"/>
        <v>1.9998343204807139</v>
      </c>
      <c r="Z194" s="4">
        <f t="shared" si="157"/>
        <v>-66.838570563604208</v>
      </c>
      <c r="AA194" s="4">
        <f t="shared" si="158"/>
        <v>10.6775961167386</v>
      </c>
      <c r="AB194" s="4">
        <f t="shared" si="159"/>
        <v>-58.994490978180082</v>
      </c>
      <c r="AC194" s="4">
        <f t="shared" si="160"/>
        <v>1.4402205338150187</v>
      </c>
      <c r="AD194" s="4">
        <f t="shared" si="161"/>
        <v>53.510660288577398</v>
      </c>
      <c r="AE194" s="4">
        <f t="shared" si="162"/>
        <v>98.414077522417656</v>
      </c>
      <c r="AF194" s="4">
        <f t="shared" si="163"/>
        <v>447.59320591562829</v>
      </c>
      <c r="AG194" s="4">
        <f t="shared" si="164"/>
        <v>-32.395752290365678</v>
      </c>
      <c r="AH194" s="4">
        <f t="shared" si="165"/>
        <v>140.85937519486845</v>
      </c>
      <c r="AI194" s="4">
        <f t="shared" si="166"/>
        <v>325.69702828458293</v>
      </c>
      <c r="AJ194" s="4">
        <f t="shared" si="167"/>
        <v>-15.612637662438253</v>
      </c>
      <c r="AK194" s="4">
        <f t="shared" si="168"/>
        <v>-999.3892081168425</v>
      </c>
      <c r="AL194" s="4">
        <f t="shared" si="169"/>
        <v>-7114.5329858234991</v>
      </c>
      <c r="AM194" s="4">
        <f t="shared" si="170"/>
        <v>-38.080735805281506</v>
      </c>
      <c r="AN194" s="4">
        <f t="shared" si="171"/>
        <v>310.0752875848986</v>
      </c>
      <c r="AO194" s="4">
        <f t="shared" si="172"/>
        <v>4344.680050408695</v>
      </c>
      <c r="AP194" s="4">
        <f t="shared" si="173"/>
        <v>16497.896358843405</v>
      </c>
      <c r="AQ194" s="4">
        <f t="shared" si="174"/>
        <v>3.3105904525137283E-3</v>
      </c>
      <c r="AR194" s="4">
        <f t="shared" si="175"/>
        <v>-0.10011059039392285</v>
      </c>
      <c r="AS194" s="4">
        <f t="shared" si="176"/>
        <v>2.8549856672266394E-3</v>
      </c>
      <c r="AT194" s="4">
        <f t="shared" si="177"/>
        <v>0.87552288144241552</v>
      </c>
      <c r="AU194" s="4">
        <f t="shared" si="178"/>
        <v>0.48402660298153727</v>
      </c>
      <c r="AV194" s="4">
        <f t="shared" si="179"/>
        <v>-4.2461492712800837E-3</v>
      </c>
      <c r="AW194" s="4">
        <f t="shared" si="180"/>
        <v>-5.2133420488980287</v>
      </c>
      <c r="AX194" s="4">
        <f t="shared" si="181"/>
        <v>-2.1851696524654627</v>
      </c>
      <c r="AY194" s="4">
        <f t="shared" si="182"/>
        <v>5.0478839463137435</v>
      </c>
      <c r="AZ194" s="4">
        <f t="shared" si="183"/>
        <v>36.69740467406136</v>
      </c>
      <c r="BA194" s="4">
        <f t="shared" si="184"/>
        <v>-0.16744635752322945</v>
      </c>
      <c r="BB194" s="4">
        <f t="shared" si="185"/>
        <v>-5.8690721760332707</v>
      </c>
      <c r="BC194" s="4">
        <f t="shared" si="186"/>
        <v>-3.300818401395738</v>
      </c>
      <c r="BD194" s="4">
        <f t="shared" si="187"/>
        <v>13.79025703892748</v>
      </c>
      <c r="BE194" s="4">
        <f t="shared" si="188"/>
        <v>39.253542152745887</v>
      </c>
      <c r="BF194" s="4">
        <f t="shared" si="189"/>
        <v>-27.930885337509675</v>
      </c>
      <c r="BG194" s="4">
        <f t="shared" si="190"/>
        <v>-3.1414912762558362</v>
      </c>
      <c r="BH194" s="4">
        <f t="shared" si="191"/>
        <v>-53.521830027918867</v>
      </c>
      <c r="BI194" s="4">
        <f t="shared" si="192"/>
        <v>-6.9535462612289711</v>
      </c>
      <c r="BJ194" s="4">
        <f t="shared" si="193"/>
        <v>-184.79139200835692</v>
      </c>
      <c r="BK194" s="4">
        <f t="shared" si="194"/>
        <v>0.19156964429720391</v>
      </c>
      <c r="BL194" s="4">
        <f t="shared" si="195"/>
        <v>8.1738510642945368</v>
      </c>
      <c r="BM194" s="4">
        <f t="shared" si="196"/>
        <v>19.065972055013727</v>
      </c>
      <c r="BN194" s="4">
        <f t="shared" si="197"/>
        <v>-12.855137513353876</v>
      </c>
      <c r="BO194" s="4">
        <f t="shared" si="198"/>
        <v>-133.29678507786178</v>
      </c>
      <c r="BP194" s="4">
        <f t="shared" si="199"/>
        <v>-86.887412947641693</v>
      </c>
      <c r="BQ194" s="4">
        <f t="shared" si="200"/>
        <v>-11.311919019616886</v>
      </c>
      <c r="BR194" s="4">
        <f t="shared" si="201"/>
        <v>64.807455900987662</v>
      </c>
      <c r="BS194" s="4">
        <f t="shared" si="202"/>
        <v>567.35148913978799</v>
      </c>
      <c r="BT194" s="4">
        <f t="shared" si="203"/>
        <v>2392.3222789421648</v>
      </c>
      <c r="BU194" s="4">
        <f t="shared" si="204"/>
        <v>2.9562696184618851</v>
      </c>
      <c r="BV194" s="4">
        <f t="shared" si="205"/>
        <v>48.411266021567243</v>
      </c>
      <c r="BW194" s="4">
        <f t="shared" si="206"/>
        <v>-262.51243904880499</v>
      </c>
      <c r="BX194" s="4">
        <f t="shared" si="207"/>
        <v>-1536.3152758380475</v>
      </c>
      <c r="BY194" s="4">
        <f t="shared" si="208"/>
        <v>-4671.3919708100411</v>
      </c>
      <c r="BZ194" s="6">
        <f t="shared" si="209"/>
        <v>-1.6196172864374603</v>
      </c>
      <c r="CA194" s="7"/>
      <c r="CB194" s="6">
        <v>-1.6196165336500601</v>
      </c>
      <c r="CC194" s="6"/>
    </row>
    <row r="195" spans="1:81" x14ac:dyDescent="0.3">
      <c r="A195" s="4">
        <v>193</v>
      </c>
      <c r="B195" s="4">
        <v>127033501</v>
      </c>
      <c r="C195" s="4">
        <v>11.291</v>
      </c>
      <c r="D195" s="4">
        <v>9.2200000000000006</v>
      </c>
      <c r="E195" s="4">
        <v>0.44600000000000001</v>
      </c>
      <c r="F195" s="4">
        <v>4.056</v>
      </c>
      <c r="H195" s="6">
        <v>-2618.81325553337</v>
      </c>
      <c r="I195" s="4">
        <f t="shared" ref="I195:I244" si="210">$I$1*C195</f>
        <v>524.04694851110003</v>
      </c>
      <c r="J195" s="4">
        <f t="shared" ref="J195:J244" si="211">$J$1*D195</f>
        <v>-4537.4225664200003</v>
      </c>
      <c r="K195" s="4">
        <f t="shared" ref="K195:K244" si="212">$K$1*E195</f>
        <v>1056.4966635999999</v>
      </c>
      <c r="L195" s="4">
        <f t="shared" ref="L195:L244" si="213">$L$1*F195</f>
        <v>13106.988822720001</v>
      </c>
      <c r="M195" s="4">
        <f t="shared" ref="M195:M244" si="214">$M$1*C195^2</f>
        <v>492.59079178773845</v>
      </c>
      <c r="N195" s="4">
        <f t="shared" ref="N195:N244" si="215">$N$1*C195*D195</f>
        <v>263.35079114107543</v>
      </c>
      <c r="O195" s="4">
        <f t="shared" ref="O195:O244" si="216">$O$1*C195*E195</f>
        <v>-346.61369424488799</v>
      </c>
      <c r="P195" s="4">
        <f t="shared" ref="P195:P244" si="217">$P$1*C195*F195</f>
        <v>-1755.943517657784</v>
      </c>
      <c r="Q195" s="4">
        <f t="shared" ref="Q195:Q244" si="218">$Q$1*D195^2</f>
        <v>-1020.1821955430001</v>
      </c>
      <c r="R195" s="4">
        <f t="shared" ref="R195:R244" si="219">$R$1*D195*E195</f>
        <v>744.11519642231997</v>
      </c>
      <c r="S195" s="4">
        <f t="shared" ref="S195:S244" si="220">$S$1*D195*F195</f>
        <v>15822.546301729442</v>
      </c>
      <c r="T195" s="4">
        <f t="shared" ref="T195:T244" si="221">$T$1*E195^2</f>
        <v>-82.564208533016</v>
      </c>
      <c r="U195" s="4">
        <f t="shared" ref="U195:U244" si="222">$U$1*E195*F195</f>
        <v>-3719.2823514225606</v>
      </c>
      <c r="V195" s="4">
        <f t="shared" ref="V195:V244" si="223">$V$1*F195^2</f>
        <v>-24457.8660535872</v>
      </c>
      <c r="W195" s="4">
        <f t="shared" ref="W195:W244" si="224">$W$1*C195^3</f>
        <v>-52.089417705390105</v>
      </c>
      <c r="X195" s="4">
        <f t="shared" ref="X195:X244" si="225">$X$1*(C195^2)*D195</f>
        <v>155.96537683840069</v>
      </c>
      <c r="Y195" s="4">
        <f t="shared" ref="Y195:Y244" si="226">$Y$1*(C195^2)*E195</f>
        <v>33.819052016576961</v>
      </c>
      <c r="Z195" s="4">
        <f t="shared" ref="Z195:Z244" si="227">$Z$1*(C195^2)*F195</f>
        <v>-1356.1468182035637</v>
      </c>
      <c r="AA195" s="4">
        <f t="shared" ref="AA195:AA244" si="228">$AA$1*C195*(D195^2)</f>
        <v>223.00489935654483</v>
      </c>
      <c r="AB195" s="4">
        <f t="shared" ref="AB195:AB244" si="229">$AB$1*C195*D195*E195</f>
        <v>-500.31914878630568</v>
      </c>
      <c r="AC195" s="4">
        <f t="shared" ref="AC195:AC244" si="230">$AC$1*C195*D195*F195</f>
        <v>14.654695837212032</v>
      </c>
      <c r="AD195" s="4">
        <f t="shared" ref="AD195:AD244" si="231">$AD$1*C195*(E195^2)</f>
        <v>184.27682818738353</v>
      </c>
      <c r="AE195" s="4">
        <f t="shared" ref="AE195:AE244" si="232">$AE$1*C195*E195*F195</f>
        <v>406.63034802714157</v>
      </c>
      <c r="AF195" s="4">
        <f t="shared" ref="AF195:AF244" si="233">$AF$1*C195*(F195^2)</f>
        <v>2218.9023572294473</v>
      </c>
      <c r="AG195" s="4">
        <f t="shared" ref="AG195:AG244" si="234">$AG$1*D195^3</f>
        <v>-339.3104529163146</v>
      </c>
      <c r="AH195" s="4">
        <f t="shared" ref="AH195:AH244" si="235">$AH$1*(D195^2)*E195</f>
        <v>599.0867008900492</v>
      </c>
      <c r="AI195" s="4">
        <f t="shared" ref="AI195:AI244" si="236">$AI$1*(D195^2)*F195</f>
        <v>1661.9955659320981</v>
      </c>
      <c r="AJ195" s="4">
        <f t="shared" ref="AJ195:AJ244" si="237">$AJ$1*D195*(E195^2)</f>
        <v>-26.96341857384698</v>
      </c>
      <c r="AK195" s="4">
        <f t="shared" ref="AK195:AK244" si="238">$AK$1*D195*E195*F195</f>
        <v>-2070.8348828203048</v>
      </c>
      <c r="AL195" s="4">
        <f t="shared" ref="AL195:AL244" si="239">$AL$1*D195*(F195^2)</f>
        <v>-17687.618297017947</v>
      </c>
      <c r="AM195" s="4">
        <f t="shared" ref="AM195:AM244" si="240">$AM$1*E195^3</f>
        <v>-26.705379628892771</v>
      </c>
      <c r="AN195" s="4">
        <f t="shared" ref="AN195:AN244" si="241">$AN$1*(E195^2)*F195</f>
        <v>260.89918564340843</v>
      </c>
      <c r="AO195" s="4">
        <f t="shared" ref="AO195:AO244" si="242">$AO$1*E195*(F195^2)</f>
        <v>4386.0695275090438</v>
      </c>
      <c r="AP195" s="4">
        <f t="shared" ref="AP195:AP244" si="243">$AP$1*F195^3</f>
        <v>19982.895932837087</v>
      </c>
      <c r="AQ195" s="4">
        <f t="shared" ref="AQ195:AQ244" si="244">$AQ$1*C195^4</f>
        <v>1.1994385414553028</v>
      </c>
      <c r="AR195" s="4">
        <f t="shared" ref="AR195:AR244" si="245">$AR$1*(C195^3)*D195</f>
        <v>-18.189502405159946</v>
      </c>
      <c r="AS195" s="4">
        <f t="shared" ref="AS195:AS244" si="246">$AS$1*(C195^3)*E195</f>
        <v>0.21063933747062497</v>
      </c>
      <c r="AT195" s="4">
        <f t="shared" ref="AT195:AT244" si="247">$AT$1*(C195^3)*F195</f>
        <v>77.502407263554943</v>
      </c>
      <c r="AU195" s="4">
        <f t="shared" ref="AU195:AU244" si="248">$AU$1*(C195^2)*(D195^2)</f>
        <v>44.104030752272728</v>
      </c>
      <c r="AV195" s="4">
        <f t="shared" ref="AV195:AV244" si="249">$AV$1*(C195^2)*D195*E195</f>
        <v>-0.15710827479710054</v>
      </c>
      <c r="AW195" s="4">
        <f t="shared" ref="AW195:AW244" si="250">$AW$1*(C195^2)*D195*F195</f>
        <v>-231.43666678913101</v>
      </c>
      <c r="AX195" s="4">
        <f t="shared" ref="AX195:AX244" si="251">$AX$1*(C195^2)*(E195^2)</f>
        <v>-32.830970007703726</v>
      </c>
      <c r="AY195" s="4">
        <f t="shared" ref="AY195:AY244" si="252">$AY$1*(C195^2)*E195*F195</f>
        <v>90.995530084941834</v>
      </c>
      <c r="AZ195" s="4">
        <f t="shared" ref="AZ195:AZ244" si="253">$AZ$1*(C195^2)*(F195^2)</f>
        <v>793.70331148602145</v>
      </c>
      <c r="BA195" s="4">
        <f t="shared" ref="BA195:BA244" si="254">$BA$1*C195*(D195^3)</f>
        <v>-7.6516132313194243</v>
      </c>
      <c r="BB195" s="4">
        <f t="shared" ref="BB195:BB244" si="255">$BB$1*C195*(D195^2)*E195</f>
        <v>-108.90341708127355</v>
      </c>
      <c r="BC195" s="4">
        <f t="shared" ref="BC195:BC244" si="256">$BC$1*C195*(D195^2)*F195</f>
        <v>-73.486207022913618</v>
      </c>
      <c r="BD195" s="4">
        <f t="shared" ref="BD195:BD244" si="257">$BD$1*C195*D195*(E195^2)</f>
        <v>103.90565142486552</v>
      </c>
      <c r="BE195" s="4">
        <f t="shared" ref="BE195:BE244" si="258">$BE$1*C195*D195*E195*F195</f>
        <v>354.8606180391572</v>
      </c>
      <c r="BF195" s="4">
        <f t="shared" ref="BF195:BF244" si="259">$BF$1*C195*D195*(F195^2)</f>
        <v>-302.95337676110438</v>
      </c>
      <c r="BG195" s="4">
        <f t="shared" ref="BG195:BG244" si="260">$BG$1*C195*(E195^3)</f>
        <v>-9.6116382744850934</v>
      </c>
      <c r="BH195" s="4">
        <f t="shared" ref="BH195:BH244" si="261">$BH$1*C195*(E195^2)*F195</f>
        <v>-196.47380602928766</v>
      </c>
      <c r="BI195" s="4">
        <f t="shared" ref="BI195:BI244" si="262">$BI$1*C195*E195*(F195^2)</f>
        <v>-30.626135223320727</v>
      </c>
      <c r="BJ195" s="4">
        <f t="shared" ref="BJ195:BJ244" si="263">$BJ$1*C195*(F195^3)</f>
        <v>-976.5168196250138</v>
      </c>
      <c r="BK195" s="4">
        <f t="shared" ref="BK195:BK244" si="264">$BK$1*D195^4</f>
        <v>4.3900781557557425</v>
      </c>
      <c r="BL195" s="4">
        <f t="shared" ref="BL195:BL244" si="265">$BL$1*(D195^3)*E195</f>
        <v>76.061875715976029</v>
      </c>
      <c r="BM195" s="4">
        <f t="shared" ref="BM195:BM244" si="266">$BM$1*(D195^3)*F195</f>
        <v>212.86850335100885</v>
      </c>
      <c r="BN195" s="4">
        <f t="shared" ref="BN195:BN244" si="267">$BN$1*(D195^2)*(E195^2)</f>
        <v>-48.574885931110266</v>
      </c>
      <c r="BO195" s="4">
        <f t="shared" ref="BO195:BO244" si="268">$BO$1*(D195^2)*E195*F195</f>
        <v>-604.31988013962371</v>
      </c>
      <c r="BP195" s="4">
        <f t="shared" ref="BP195:BP244" si="269">$BP$1*(D195^2)*(F195^2)</f>
        <v>-472.62448419678378</v>
      </c>
      <c r="BQ195" s="4">
        <f t="shared" ref="BQ195:BQ244" si="270">$BQ$1*D195*(E195^3)</f>
        <v>-17.356657831953545</v>
      </c>
      <c r="BR195" s="4">
        <f t="shared" ref="BR195:BR244" si="271">$BR$1*D195*(E195^2)*F195</f>
        <v>119.30727628764203</v>
      </c>
      <c r="BS195" s="4">
        <f t="shared" ref="BS195:BS244" si="272">$BS$1*D195*E195*(F195^2)</f>
        <v>1253.1593560614328</v>
      </c>
      <c r="BT195" s="4">
        <f t="shared" ref="BT195:BT244" si="273">$BT$1*D195*(F195^3)</f>
        <v>6339.9514210465441</v>
      </c>
      <c r="BU195" s="4">
        <f t="shared" ref="BU195:BU244" si="274">$BU$1*E195^4</f>
        <v>1.8419108511671172</v>
      </c>
      <c r="BV195" s="4">
        <f t="shared" ref="BV195:BV244" si="275">$BV$1*(E195^3)*F195</f>
        <v>36.189547268150562</v>
      </c>
      <c r="BW195" s="4">
        <f t="shared" ref="BW195:BW244" si="276">$BW$1*(E195^2)*(F195^2)</f>
        <v>-235.45002488214999</v>
      </c>
      <c r="BX195" s="4">
        <f t="shared" ref="BX195:BX244" si="277">$BX$1*E195*(F195^3)</f>
        <v>-1653.2607148330485</v>
      </c>
      <c r="BY195" s="4">
        <f t="shared" ref="BY195:BY244" si="278">$BY$1*F195^4</f>
        <v>-6031.4183201708502</v>
      </c>
      <c r="BZ195" s="6">
        <f t="shared" ref="BZ195:BZ244" si="279">SUM(G195:BY195)</f>
        <v>-1.9303054219280966</v>
      </c>
      <c r="CA195" s="7"/>
      <c r="CB195" s="6">
        <v>-1.9303188363464869</v>
      </c>
      <c r="CC195" s="6"/>
    </row>
    <row r="196" spans="1:81" x14ac:dyDescent="0.3">
      <c r="A196" s="4">
        <v>194</v>
      </c>
      <c r="B196" s="4">
        <v>1507317</v>
      </c>
      <c r="C196" s="4">
        <v>2.5880000000000001</v>
      </c>
      <c r="D196" s="4">
        <v>4.2149999999999999</v>
      </c>
      <c r="E196" s="4">
        <v>0.46400000000000002</v>
      </c>
      <c r="F196" s="4">
        <v>3.8050000000000002</v>
      </c>
      <c r="H196" s="6">
        <v>-2618.81325553337</v>
      </c>
      <c r="I196" s="4">
        <f t="shared" si="210"/>
        <v>120.11633183480001</v>
      </c>
      <c r="J196" s="4">
        <f t="shared" si="211"/>
        <v>-2074.3206201150001</v>
      </c>
      <c r="K196" s="4">
        <f t="shared" si="212"/>
        <v>1099.1355424000001</v>
      </c>
      <c r="L196" s="4">
        <f t="shared" si="213"/>
        <v>12295.880786600001</v>
      </c>
      <c r="M196" s="4">
        <f t="shared" si="214"/>
        <v>25.879150623990082</v>
      </c>
      <c r="N196" s="4">
        <f t="shared" si="215"/>
        <v>27.595174828733395</v>
      </c>
      <c r="O196" s="4">
        <f t="shared" si="216"/>
        <v>-82.653396249856002</v>
      </c>
      <c r="P196" s="4">
        <f t="shared" si="217"/>
        <v>-377.57142715585996</v>
      </c>
      <c r="Q196" s="4">
        <f t="shared" si="218"/>
        <v>-213.21171116043749</v>
      </c>
      <c r="R196" s="4">
        <f t="shared" si="219"/>
        <v>353.90765263535997</v>
      </c>
      <c r="S196" s="4">
        <f t="shared" si="220"/>
        <v>6785.7795707735249</v>
      </c>
      <c r="T196" s="4">
        <f t="shared" si="221"/>
        <v>-89.363067024895997</v>
      </c>
      <c r="U196" s="4">
        <f t="shared" si="222"/>
        <v>-3629.9361501112007</v>
      </c>
      <c r="V196" s="4">
        <f t="shared" si="223"/>
        <v>-21524.446468042501</v>
      </c>
      <c r="W196" s="4">
        <f t="shared" si="224"/>
        <v>-0.62725639304322733</v>
      </c>
      <c r="X196" s="4">
        <f t="shared" si="225"/>
        <v>3.7459207580172293</v>
      </c>
      <c r="Y196" s="4">
        <f t="shared" si="226"/>
        <v>1.8484524396475124</v>
      </c>
      <c r="Z196" s="4">
        <f t="shared" si="227"/>
        <v>-66.838570563604208</v>
      </c>
      <c r="AA196" s="4">
        <f t="shared" si="228"/>
        <v>10.682664395350875</v>
      </c>
      <c r="AB196" s="4">
        <f t="shared" si="229"/>
        <v>-54.541712445654241</v>
      </c>
      <c r="AC196" s="4">
        <f t="shared" si="230"/>
        <v>1.4405623042312063</v>
      </c>
      <c r="AD196" s="4">
        <f t="shared" si="231"/>
        <v>45.716064496950686</v>
      </c>
      <c r="AE196" s="4">
        <f t="shared" si="232"/>
        <v>90.964406315541424</v>
      </c>
      <c r="AF196" s="4">
        <f t="shared" si="233"/>
        <v>447.59320591562829</v>
      </c>
      <c r="AG196" s="4">
        <f t="shared" si="234"/>
        <v>-32.418820710309184</v>
      </c>
      <c r="AH196" s="4">
        <f t="shared" si="235"/>
        <v>130.2585131193847</v>
      </c>
      <c r="AI196" s="4">
        <f t="shared" si="236"/>
        <v>325.85162518677788</v>
      </c>
      <c r="AJ196" s="4">
        <f t="shared" si="237"/>
        <v>-13.341598141228031</v>
      </c>
      <c r="AK196" s="4">
        <f t="shared" si="238"/>
        <v>-923.95743918800156</v>
      </c>
      <c r="AL196" s="4">
        <f t="shared" si="239"/>
        <v>-7116.2212945529291</v>
      </c>
      <c r="AM196" s="4">
        <f t="shared" si="240"/>
        <v>-30.071017374236675</v>
      </c>
      <c r="AN196" s="4">
        <f t="shared" si="241"/>
        <v>264.90837096188289</v>
      </c>
      <c r="AO196" s="4">
        <f t="shared" si="242"/>
        <v>4015.7998872303478</v>
      </c>
      <c r="AP196" s="4">
        <f t="shared" si="243"/>
        <v>16497.896358843405</v>
      </c>
      <c r="AQ196" s="4">
        <f t="shared" si="244"/>
        <v>3.3105904525137283E-3</v>
      </c>
      <c r="AR196" s="4">
        <f t="shared" si="245"/>
        <v>-0.10013434705989198</v>
      </c>
      <c r="AS196" s="4">
        <f t="shared" si="246"/>
        <v>2.6388712143290056E-3</v>
      </c>
      <c r="AT196" s="4">
        <f t="shared" si="247"/>
        <v>0.87552288144241552</v>
      </c>
      <c r="AU196" s="4">
        <f t="shared" si="248"/>
        <v>0.48425635335351641</v>
      </c>
      <c r="AV196" s="4">
        <f t="shared" si="249"/>
        <v>-3.9256589677354814E-3</v>
      </c>
      <c r="AW196" s="4">
        <f t="shared" si="250"/>
        <v>-5.2145791969874677</v>
      </c>
      <c r="AX196" s="4">
        <f t="shared" si="251"/>
        <v>-1.8668683254916758</v>
      </c>
      <c r="AY196" s="4">
        <f t="shared" si="252"/>
        <v>4.6657732093417863</v>
      </c>
      <c r="AZ196" s="4">
        <f t="shared" si="253"/>
        <v>36.69740467406136</v>
      </c>
      <c r="BA196" s="4">
        <f t="shared" si="254"/>
        <v>-0.16756559299764395</v>
      </c>
      <c r="BB196" s="4">
        <f t="shared" si="255"/>
        <v>-5.427374741530846</v>
      </c>
      <c r="BC196" s="4">
        <f t="shared" si="256"/>
        <v>-3.3023851835744136</v>
      </c>
      <c r="BD196" s="4">
        <f t="shared" si="257"/>
        <v>11.784303950142306</v>
      </c>
      <c r="BE196" s="4">
        <f t="shared" si="258"/>
        <v>36.290768393277531</v>
      </c>
      <c r="BF196" s="4">
        <f t="shared" si="259"/>
        <v>-27.937513454580749</v>
      </c>
      <c r="BG196" s="4">
        <f t="shared" si="260"/>
        <v>-2.4807251422962326</v>
      </c>
      <c r="BH196" s="4">
        <f t="shared" si="261"/>
        <v>-45.725607203420665</v>
      </c>
      <c r="BI196" s="4">
        <f t="shared" si="262"/>
        <v>-6.4271822016140296</v>
      </c>
      <c r="BJ196" s="4">
        <f t="shared" si="263"/>
        <v>-184.79139200835692</v>
      </c>
      <c r="BK196" s="4">
        <f t="shared" si="264"/>
        <v>0.19175155017809078</v>
      </c>
      <c r="BL196" s="4">
        <f t="shared" si="265"/>
        <v>7.560493191710397</v>
      </c>
      <c r="BM196" s="4">
        <f t="shared" si="266"/>
        <v>19.079548583382444</v>
      </c>
      <c r="BN196" s="4">
        <f t="shared" si="267"/>
        <v>-10.98781525927904</v>
      </c>
      <c r="BO196" s="4">
        <f t="shared" si="268"/>
        <v>-123.26507201821667</v>
      </c>
      <c r="BP196" s="4">
        <f t="shared" si="269"/>
        <v>-86.928655340770632</v>
      </c>
      <c r="BQ196" s="4">
        <f t="shared" si="270"/>
        <v>-8.9347442427637507</v>
      </c>
      <c r="BR196" s="4">
        <f t="shared" si="271"/>
        <v>55.380458567005711</v>
      </c>
      <c r="BS196" s="4">
        <f t="shared" si="272"/>
        <v>524.52900708510595</v>
      </c>
      <c r="BT196" s="4">
        <f t="shared" si="273"/>
        <v>2392.8899871241629</v>
      </c>
      <c r="BU196" s="4">
        <f t="shared" si="274"/>
        <v>2.157749843612192</v>
      </c>
      <c r="BV196" s="4">
        <f t="shared" si="275"/>
        <v>38.228673655025261</v>
      </c>
      <c r="BW196" s="4">
        <f t="shared" si="276"/>
        <v>-224.27373405760034</v>
      </c>
      <c r="BX196" s="4">
        <f t="shared" si="277"/>
        <v>-1420.0204940017011</v>
      </c>
      <c r="BY196" s="4">
        <f t="shared" si="278"/>
        <v>-4671.3919708100411</v>
      </c>
      <c r="BZ196" s="6">
        <f t="shared" si="279"/>
        <v>-1.7596533623309369</v>
      </c>
      <c r="CA196" s="7"/>
      <c r="CB196" s="6">
        <v>-1.7596524627247161</v>
      </c>
      <c r="CC196" s="6"/>
    </row>
    <row r="197" spans="1:81" x14ac:dyDescent="0.3">
      <c r="A197" s="4">
        <v>195</v>
      </c>
      <c r="B197" s="4">
        <v>4485</v>
      </c>
      <c r="C197" s="4">
        <v>3.4780000000000002</v>
      </c>
      <c r="D197" s="4">
        <v>3.9889999999999999</v>
      </c>
      <c r="E197" s="4">
        <v>0.45400000000000001</v>
      </c>
      <c r="F197" s="4">
        <v>3.5019999999999998</v>
      </c>
      <c r="H197" s="6">
        <v>-2618.81325553337</v>
      </c>
      <c r="I197" s="4">
        <f t="shared" si="210"/>
        <v>161.42372570380002</v>
      </c>
      <c r="J197" s="4">
        <f t="shared" si="211"/>
        <v>-1963.099633129</v>
      </c>
      <c r="K197" s="4">
        <f t="shared" si="212"/>
        <v>1075.4472764</v>
      </c>
      <c r="L197" s="4">
        <f t="shared" si="213"/>
        <v>11316.734432239999</v>
      </c>
      <c r="M197" s="4">
        <f t="shared" si="214"/>
        <v>46.73913058735689</v>
      </c>
      <c r="N197" s="4">
        <f t="shared" si="215"/>
        <v>35.096589241956337</v>
      </c>
      <c r="O197" s="4">
        <f t="shared" si="216"/>
        <v>-108.68356649329601</v>
      </c>
      <c r="P197" s="4">
        <f t="shared" si="217"/>
        <v>-467.00970715092399</v>
      </c>
      <c r="Q197" s="4">
        <f t="shared" si="218"/>
        <v>-190.96068785585749</v>
      </c>
      <c r="R197" s="4">
        <f t="shared" si="219"/>
        <v>327.713462985516</v>
      </c>
      <c r="S197" s="4">
        <f t="shared" si="220"/>
        <v>5910.5471465104256</v>
      </c>
      <c r="T197" s="4">
        <f t="shared" si="221"/>
        <v>-85.552717760215998</v>
      </c>
      <c r="U197" s="4">
        <f t="shared" si="222"/>
        <v>-3268.8751894914803</v>
      </c>
      <c r="V197" s="4">
        <f t="shared" si="223"/>
        <v>-18232.866539590796</v>
      </c>
      <c r="W197" s="4">
        <f t="shared" si="224"/>
        <v>-1.5224429007255407</v>
      </c>
      <c r="X197" s="4">
        <f t="shared" si="225"/>
        <v>6.4025894499748839</v>
      </c>
      <c r="Y197" s="4">
        <f t="shared" si="226"/>
        <v>3.2664556379867085</v>
      </c>
      <c r="Z197" s="4">
        <f t="shared" si="227"/>
        <v>-111.10132676937998</v>
      </c>
      <c r="AA197" s="4">
        <f t="shared" si="228"/>
        <v>12.858129791251757</v>
      </c>
      <c r="AB197" s="4">
        <f t="shared" si="229"/>
        <v>-67.873212414950814</v>
      </c>
      <c r="AC197" s="4">
        <f t="shared" si="230"/>
        <v>1.6862629187301477</v>
      </c>
      <c r="AD197" s="4">
        <f t="shared" si="231"/>
        <v>58.817950432223377</v>
      </c>
      <c r="AE197" s="4">
        <f t="shared" si="232"/>
        <v>110.08702818130963</v>
      </c>
      <c r="AF197" s="4">
        <f t="shared" si="233"/>
        <v>509.53233854987991</v>
      </c>
      <c r="AG197" s="4">
        <f t="shared" si="234"/>
        <v>-27.478725433625563</v>
      </c>
      <c r="AH197" s="4">
        <f t="shared" si="235"/>
        <v>114.15025959081122</v>
      </c>
      <c r="AI197" s="4">
        <f t="shared" si="236"/>
        <v>268.60512002037524</v>
      </c>
      <c r="AJ197" s="4">
        <f t="shared" si="237"/>
        <v>-12.087877695841252</v>
      </c>
      <c r="AK197" s="4">
        <f t="shared" si="238"/>
        <v>-787.44055247563608</v>
      </c>
      <c r="AL197" s="4">
        <f t="shared" si="239"/>
        <v>-5704.7795102440232</v>
      </c>
      <c r="AM197" s="4">
        <f t="shared" si="240"/>
        <v>-28.168371413028837</v>
      </c>
      <c r="AN197" s="4">
        <f t="shared" si="241"/>
        <v>233.41722802203924</v>
      </c>
      <c r="AO197" s="4">
        <f t="shared" si="242"/>
        <v>3328.3799469230398</v>
      </c>
      <c r="AP197" s="4">
        <f t="shared" si="243"/>
        <v>12862.133499410076</v>
      </c>
      <c r="AQ197" s="4">
        <f t="shared" si="244"/>
        <v>1.0798580767726126E-2</v>
      </c>
      <c r="AR197" s="4">
        <f t="shared" si="245"/>
        <v>-0.23000932562287119</v>
      </c>
      <c r="AS197" s="4">
        <f t="shared" si="246"/>
        <v>6.2668887482440726E-3</v>
      </c>
      <c r="AT197" s="4">
        <f t="shared" si="247"/>
        <v>1.955802055981045</v>
      </c>
      <c r="AU197" s="4">
        <f t="shared" si="248"/>
        <v>0.78331934723213559</v>
      </c>
      <c r="AV197" s="4">
        <f t="shared" si="249"/>
        <v>-6.5651931788075673E-3</v>
      </c>
      <c r="AW197" s="4">
        <f t="shared" si="250"/>
        <v>-8.203096434121937</v>
      </c>
      <c r="AX197" s="4">
        <f t="shared" si="251"/>
        <v>-3.2278997868777393</v>
      </c>
      <c r="AY197" s="4">
        <f t="shared" si="252"/>
        <v>7.5884589539922365</v>
      </c>
      <c r="AZ197" s="4">
        <f t="shared" si="253"/>
        <v>56.142134931675024</v>
      </c>
      <c r="BA197" s="4">
        <f t="shared" si="254"/>
        <v>-0.19087520896219753</v>
      </c>
      <c r="BB197" s="4">
        <f t="shared" si="255"/>
        <v>-6.3918400971966367</v>
      </c>
      <c r="BC197" s="4">
        <f t="shared" si="256"/>
        <v>-3.6583683246586784</v>
      </c>
      <c r="BD197" s="4">
        <f t="shared" si="257"/>
        <v>14.348663251794886</v>
      </c>
      <c r="BE197" s="4">
        <f t="shared" si="258"/>
        <v>41.564951653183691</v>
      </c>
      <c r="BF197" s="4">
        <f t="shared" si="259"/>
        <v>-30.098335157175484</v>
      </c>
      <c r="BG197" s="4">
        <f t="shared" si="260"/>
        <v>-3.1228963554786207</v>
      </c>
      <c r="BH197" s="4">
        <f t="shared" si="261"/>
        <v>-54.145455580356185</v>
      </c>
      <c r="BI197" s="4">
        <f t="shared" si="262"/>
        <v>-7.1589075004827398</v>
      </c>
      <c r="BJ197" s="4">
        <f t="shared" si="263"/>
        <v>-193.61164929776663</v>
      </c>
      <c r="BK197" s="4">
        <f t="shared" si="264"/>
        <v>0.1538171332578907</v>
      </c>
      <c r="BL197" s="4">
        <f t="shared" si="265"/>
        <v>6.2702862987549786</v>
      </c>
      <c r="BM197" s="4">
        <f t="shared" si="266"/>
        <v>14.884318268903264</v>
      </c>
      <c r="BN197" s="4">
        <f t="shared" si="267"/>
        <v>-9.4214990402127015</v>
      </c>
      <c r="BO197" s="4">
        <f t="shared" si="268"/>
        <v>-99.419666373281203</v>
      </c>
      <c r="BP197" s="4">
        <f t="shared" si="269"/>
        <v>-65.950613176139029</v>
      </c>
      <c r="BQ197" s="4">
        <f t="shared" si="270"/>
        <v>-7.920675106517086</v>
      </c>
      <c r="BR197" s="4">
        <f t="shared" si="271"/>
        <v>46.180670067605831</v>
      </c>
      <c r="BS197" s="4">
        <f t="shared" si="272"/>
        <v>411.4308009160182</v>
      </c>
      <c r="BT197" s="4">
        <f t="shared" si="273"/>
        <v>1765.5240247645129</v>
      </c>
      <c r="BU197" s="4">
        <f t="shared" si="274"/>
        <v>1.977664341510188</v>
      </c>
      <c r="BV197" s="4">
        <f t="shared" si="275"/>
        <v>32.958263984323033</v>
      </c>
      <c r="BW197" s="4">
        <f t="shared" si="276"/>
        <v>-181.87672266178288</v>
      </c>
      <c r="BX197" s="4">
        <f t="shared" si="277"/>
        <v>-1083.2206396994025</v>
      </c>
      <c r="BY197" s="4">
        <f t="shared" si="278"/>
        <v>-3351.9090996941159</v>
      </c>
      <c r="BZ197" s="6">
        <f t="shared" si="279"/>
        <v>-1.2593163304654809</v>
      </c>
      <c r="CA197" s="7"/>
      <c r="CB197" s="6">
        <v>-1.2593145406353869</v>
      </c>
      <c r="CC197" s="6"/>
    </row>
    <row r="198" spans="1:81" x14ac:dyDescent="0.3">
      <c r="A198" s="4">
        <v>196</v>
      </c>
      <c r="B198" s="4">
        <v>73349335</v>
      </c>
      <c r="C198" s="4">
        <v>3.1240000000000001</v>
      </c>
      <c r="D198" s="4">
        <v>3.64</v>
      </c>
      <c r="E198" s="4">
        <v>0.76300000000000001</v>
      </c>
      <c r="F198" s="4">
        <v>3.3180000000000001</v>
      </c>
      <c r="H198" s="6">
        <v>-2618.81325553337</v>
      </c>
      <c r="I198" s="4">
        <f t="shared" si="210"/>
        <v>144.99359376040002</v>
      </c>
      <c r="J198" s="4">
        <f t="shared" si="211"/>
        <v>-1791.3468700400001</v>
      </c>
      <c r="K198" s="4">
        <f t="shared" si="212"/>
        <v>1807.4146957999999</v>
      </c>
      <c r="L198" s="4">
        <f t="shared" si="213"/>
        <v>10722.137306160001</v>
      </c>
      <c r="M198" s="4">
        <f t="shared" si="214"/>
        <v>37.708870554048325</v>
      </c>
      <c r="N198" s="4">
        <f t="shared" si="215"/>
        <v>28.766280289947201</v>
      </c>
      <c r="O198" s="4">
        <f t="shared" si="216"/>
        <v>-164.064271390096</v>
      </c>
      <c r="P198" s="4">
        <f t="shared" si="217"/>
        <v>-397.43635878592801</v>
      </c>
      <c r="Q198" s="4">
        <f t="shared" si="218"/>
        <v>-159.00788649200001</v>
      </c>
      <c r="R198" s="4">
        <f t="shared" si="219"/>
        <v>502.57434542952001</v>
      </c>
      <c r="S198" s="4">
        <f t="shared" si="220"/>
        <v>5110.0514545298402</v>
      </c>
      <c r="T198" s="4">
        <f t="shared" si="221"/>
        <v>-241.64130948469401</v>
      </c>
      <c r="U198" s="4">
        <f t="shared" si="222"/>
        <v>-5205.0782633165409</v>
      </c>
      <c r="V198" s="4">
        <f t="shared" si="223"/>
        <v>-16367.2393298148</v>
      </c>
      <c r="W198" s="4">
        <f t="shared" si="224"/>
        <v>-1.1032790106034227</v>
      </c>
      <c r="X198" s="4">
        <f t="shared" si="225"/>
        <v>4.7136344264923524</v>
      </c>
      <c r="Y198" s="4">
        <f t="shared" si="226"/>
        <v>4.4290271706613922</v>
      </c>
      <c r="Z198" s="4">
        <f t="shared" si="227"/>
        <v>-84.92633457641989</v>
      </c>
      <c r="AA198" s="4">
        <f t="shared" si="228"/>
        <v>9.6168744762394311</v>
      </c>
      <c r="AB198" s="4">
        <f t="shared" si="229"/>
        <v>-93.494461523102643</v>
      </c>
      <c r="AC198" s="4">
        <f t="shared" si="230"/>
        <v>1.3094964479061106</v>
      </c>
      <c r="AD198" s="4">
        <f t="shared" si="231"/>
        <v>149.2205734929662</v>
      </c>
      <c r="AE198" s="4">
        <f t="shared" si="232"/>
        <v>157.45139783420331</v>
      </c>
      <c r="AF198" s="4">
        <f t="shared" si="233"/>
        <v>410.84090769177425</v>
      </c>
      <c r="AG198" s="4">
        <f t="shared" si="234"/>
        <v>-20.878948673366789</v>
      </c>
      <c r="AH198" s="4">
        <f t="shared" si="235"/>
        <v>159.74242875301985</v>
      </c>
      <c r="AI198" s="4">
        <f t="shared" si="236"/>
        <v>211.90891182547634</v>
      </c>
      <c r="AJ198" s="4">
        <f t="shared" si="237"/>
        <v>-31.15478616274461</v>
      </c>
      <c r="AK198" s="4">
        <f t="shared" si="238"/>
        <v>-1144.1528564633732</v>
      </c>
      <c r="AL198" s="4">
        <f t="shared" si="239"/>
        <v>-4673.0097893485845</v>
      </c>
      <c r="AM198" s="4">
        <f t="shared" si="240"/>
        <v>-133.71120225964304</v>
      </c>
      <c r="AN198" s="4">
        <f t="shared" si="241"/>
        <v>624.64104379004254</v>
      </c>
      <c r="AO198" s="4">
        <f t="shared" si="242"/>
        <v>5021.3681290427794</v>
      </c>
      <c r="AP198" s="4">
        <f t="shared" si="243"/>
        <v>10939.40579630906</v>
      </c>
      <c r="AQ198" s="4">
        <f t="shared" si="244"/>
        <v>7.0289826460317138E-3</v>
      </c>
      <c r="AR198" s="4">
        <f t="shared" si="245"/>
        <v>-0.15209927172926871</v>
      </c>
      <c r="AS198" s="4">
        <f t="shared" si="246"/>
        <v>7.6324683621449034E-3</v>
      </c>
      <c r="AT198" s="4">
        <f t="shared" si="247"/>
        <v>1.3428561141457331</v>
      </c>
      <c r="AU198" s="4">
        <f t="shared" si="248"/>
        <v>0.52623101758829205</v>
      </c>
      <c r="AV198" s="4">
        <f t="shared" si="249"/>
        <v>-8.1229996984185544E-3</v>
      </c>
      <c r="AW198" s="4">
        <f t="shared" si="250"/>
        <v>-5.7218741231184618</v>
      </c>
      <c r="AX198" s="4">
        <f t="shared" si="251"/>
        <v>-7.3556373346254853</v>
      </c>
      <c r="AY198" s="4">
        <f t="shared" si="252"/>
        <v>9.748670899002736</v>
      </c>
      <c r="AZ198" s="4">
        <f t="shared" si="253"/>
        <v>40.660461030841347</v>
      </c>
      <c r="BA198" s="4">
        <f t="shared" si="254"/>
        <v>-0.13026958063674116</v>
      </c>
      <c r="BB198" s="4">
        <f t="shared" si="255"/>
        <v>-8.0343496703473605</v>
      </c>
      <c r="BC198" s="4">
        <f t="shared" si="256"/>
        <v>-2.5924107297159829</v>
      </c>
      <c r="BD198" s="4">
        <f t="shared" si="257"/>
        <v>33.217550837934425</v>
      </c>
      <c r="BE198" s="4">
        <f t="shared" si="258"/>
        <v>54.246909320073243</v>
      </c>
      <c r="BF198" s="4">
        <f t="shared" si="259"/>
        <v>-22.145309213614578</v>
      </c>
      <c r="BG198" s="4">
        <f t="shared" si="260"/>
        <v>-13.315119659409138</v>
      </c>
      <c r="BH198" s="4">
        <f t="shared" si="261"/>
        <v>-130.14907022739496</v>
      </c>
      <c r="BI198" s="4">
        <f t="shared" si="262"/>
        <v>-9.7010191858565147</v>
      </c>
      <c r="BJ198" s="4">
        <f t="shared" si="263"/>
        <v>-147.90867681794697</v>
      </c>
      <c r="BK198" s="4">
        <f t="shared" si="264"/>
        <v>0.10664834058662483</v>
      </c>
      <c r="BL198" s="4">
        <f t="shared" si="265"/>
        <v>8.0069680970890804</v>
      </c>
      <c r="BM198" s="4">
        <f t="shared" si="266"/>
        <v>10.715223396170144</v>
      </c>
      <c r="BN198" s="4">
        <f t="shared" si="267"/>
        <v>-22.158077299356435</v>
      </c>
      <c r="BO198" s="4">
        <f t="shared" si="268"/>
        <v>-131.81836516589033</v>
      </c>
      <c r="BP198" s="4">
        <f t="shared" si="269"/>
        <v>-49.296264627402195</v>
      </c>
      <c r="BQ198" s="4">
        <f t="shared" si="270"/>
        <v>-34.308805844068253</v>
      </c>
      <c r="BR198" s="4">
        <f t="shared" si="271"/>
        <v>112.7704173176883</v>
      </c>
      <c r="BS198" s="4">
        <f t="shared" si="272"/>
        <v>566.40008969016083</v>
      </c>
      <c r="BT198" s="4">
        <f t="shared" si="273"/>
        <v>1370.2244062963271</v>
      </c>
      <c r="BU198" s="4">
        <f t="shared" si="274"/>
        <v>15.777105273927623</v>
      </c>
      <c r="BV198" s="4">
        <f t="shared" si="275"/>
        <v>148.22812777557553</v>
      </c>
      <c r="BW198" s="4">
        <f t="shared" si="276"/>
        <v>-461.14230908489651</v>
      </c>
      <c r="BX198" s="4">
        <f t="shared" si="277"/>
        <v>-1548.3399923095781</v>
      </c>
      <c r="BY198" s="4">
        <f t="shared" si="278"/>
        <v>-2701.053536593327</v>
      </c>
      <c r="BZ198" s="6">
        <f t="shared" si="279"/>
        <v>-2.1094179713836638</v>
      </c>
      <c r="CA198" s="7"/>
      <c r="CB198" s="6">
        <v>-2.1094167103774448</v>
      </c>
      <c r="CC198" s="6"/>
    </row>
    <row r="199" spans="1:81" x14ac:dyDescent="0.3">
      <c r="A199" s="4">
        <v>197</v>
      </c>
      <c r="B199" s="4">
        <v>8855211</v>
      </c>
      <c r="C199" s="4">
        <v>4.1760000000000002</v>
      </c>
      <c r="D199" s="4">
        <v>3.1549999999999998</v>
      </c>
      <c r="E199" s="4">
        <v>0.61</v>
      </c>
      <c r="F199" s="4">
        <v>3.468</v>
      </c>
      <c r="H199" s="6">
        <v>-2618.81325553337</v>
      </c>
      <c r="I199" s="4">
        <f t="shared" si="210"/>
        <v>193.81986156960002</v>
      </c>
      <c r="J199" s="4">
        <f t="shared" si="211"/>
        <v>-1552.664663455</v>
      </c>
      <c r="K199" s="4">
        <f t="shared" si="212"/>
        <v>1444.9842259999998</v>
      </c>
      <c r="L199" s="4">
        <f t="shared" si="213"/>
        <v>11206.863224160001</v>
      </c>
      <c r="M199" s="4">
        <f t="shared" si="214"/>
        <v>67.38177610732032</v>
      </c>
      <c r="N199" s="4">
        <f t="shared" si="215"/>
        <v>33.329680651965596</v>
      </c>
      <c r="O199" s="4">
        <f t="shared" si="216"/>
        <v>-175.33506391487998</v>
      </c>
      <c r="P199" s="4">
        <f t="shared" si="217"/>
        <v>-555.28989091027199</v>
      </c>
      <c r="Q199" s="4">
        <f t="shared" si="218"/>
        <v>-119.45783097893748</v>
      </c>
      <c r="R199" s="4">
        <f t="shared" si="219"/>
        <v>348.25999758629996</v>
      </c>
      <c r="S199" s="4">
        <f t="shared" si="220"/>
        <v>4629.41335570518</v>
      </c>
      <c r="T199" s="4">
        <f t="shared" si="221"/>
        <v>-154.44781714459998</v>
      </c>
      <c r="U199" s="4">
        <f t="shared" si="222"/>
        <v>-4349.4592679988</v>
      </c>
      <c r="V199" s="4">
        <f t="shared" si="223"/>
        <v>-17880.548918644799</v>
      </c>
      <c r="W199" s="4">
        <f t="shared" si="224"/>
        <v>-2.6353223809330184</v>
      </c>
      <c r="X199" s="4">
        <f t="shared" si="225"/>
        <v>7.3005033837969906</v>
      </c>
      <c r="Y199" s="4">
        <f t="shared" si="226"/>
        <v>6.3272146949695873</v>
      </c>
      <c r="Z199" s="4">
        <f t="shared" si="227"/>
        <v>-158.61491288261803</v>
      </c>
      <c r="AA199" s="4">
        <f t="shared" si="228"/>
        <v>9.6578258988067862</v>
      </c>
      <c r="AB199" s="4">
        <f t="shared" si="229"/>
        <v>-86.604134621288395</v>
      </c>
      <c r="AC199" s="4">
        <f t="shared" si="230"/>
        <v>1.5858221389467679</v>
      </c>
      <c r="AD199" s="4">
        <f t="shared" si="231"/>
        <v>127.49371135499233</v>
      </c>
      <c r="AE199" s="4">
        <f t="shared" si="232"/>
        <v>175.87495104785802</v>
      </c>
      <c r="AF199" s="4">
        <f t="shared" si="233"/>
        <v>599.96865162169706</v>
      </c>
      <c r="AG199" s="4">
        <f t="shared" si="234"/>
        <v>-13.595731101706757</v>
      </c>
      <c r="AH199" s="4">
        <f t="shared" si="235"/>
        <v>95.944821709165424</v>
      </c>
      <c r="AI199" s="4">
        <f t="shared" si="236"/>
        <v>166.39791811483161</v>
      </c>
      <c r="AJ199" s="4">
        <f t="shared" si="237"/>
        <v>-17.259704213944399</v>
      </c>
      <c r="AK199" s="4">
        <f t="shared" si="238"/>
        <v>-828.68605999607269</v>
      </c>
      <c r="AL199" s="4">
        <f t="shared" si="239"/>
        <v>-4424.8656093716245</v>
      </c>
      <c r="AM199" s="4">
        <f t="shared" si="240"/>
        <v>-68.325636311427999</v>
      </c>
      <c r="AN199" s="4">
        <f t="shared" si="241"/>
        <v>417.29561258435876</v>
      </c>
      <c r="AO199" s="4">
        <f t="shared" si="242"/>
        <v>4385.6379174257454</v>
      </c>
      <c r="AP199" s="4">
        <f t="shared" si="243"/>
        <v>12491.133619506034</v>
      </c>
      <c r="AQ199" s="4">
        <f t="shared" si="244"/>
        <v>2.2443486841842535E-2</v>
      </c>
      <c r="AR199" s="4">
        <f t="shared" si="245"/>
        <v>-0.31490061506179573</v>
      </c>
      <c r="AS199" s="4">
        <f t="shared" si="246"/>
        <v>1.4575340329110382E-2</v>
      </c>
      <c r="AT199" s="4">
        <f t="shared" si="247"/>
        <v>3.3525910583003755</v>
      </c>
      <c r="AU199" s="4">
        <f t="shared" si="248"/>
        <v>0.70643357589101363</v>
      </c>
      <c r="AV199" s="4">
        <f t="shared" si="249"/>
        <v>-1.0058162404069518E-2</v>
      </c>
      <c r="AW199" s="4">
        <f t="shared" si="250"/>
        <v>-9.2627067756547703</v>
      </c>
      <c r="AX199" s="4">
        <f t="shared" si="251"/>
        <v>-8.4009777049035694</v>
      </c>
      <c r="AY199" s="4">
        <f t="shared" si="252"/>
        <v>14.556345100001259</v>
      </c>
      <c r="AZ199" s="4">
        <f t="shared" si="253"/>
        <v>79.373703111337008</v>
      </c>
      <c r="BA199" s="4">
        <f t="shared" si="254"/>
        <v>-0.11339304548899837</v>
      </c>
      <c r="BB199" s="4">
        <f t="shared" si="255"/>
        <v>-6.4506198823596277</v>
      </c>
      <c r="BC199" s="4">
        <f t="shared" si="256"/>
        <v>-2.7211466144663197</v>
      </c>
      <c r="BD199" s="4">
        <f t="shared" si="257"/>
        <v>24.599464161586322</v>
      </c>
      <c r="BE199" s="4">
        <f t="shared" si="258"/>
        <v>52.52069307345441</v>
      </c>
      <c r="BF199" s="4">
        <f t="shared" si="259"/>
        <v>-28.030742874443572</v>
      </c>
      <c r="BG199" s="4">
        <f t="shared" si="260"/>
        <v>-9.0951618043958433</v>
      </c>
      <c r="BH199" s="4">
        <f t="shared" si="261"/>
        <v>-116.22614569394412</v>
      </c>
      <c r="BI199" s="4">
        <f t="shared" si="262"/>
        <v>-11.326025617072979</v>
      </c>
      <c r="BJ199" s="4">
        <f t="shared" si="263"/>
        <v>-225.76220494828763</v>
      </c>
      <c r="BK199" s="4">
        <f t="shared" si="264"/>
        <v>6.0193004590245666E-2</v>
      </c>
      <c r="BL199" s="4">
        <f t="shared" si="265"/>
        <v>4.1683803022113581</v>
      </c>
      <c r="BM199" s="4">
        <f t="shared" si="266"/>
        <v>7.2928600035228719</v>
      </c>
      <c r="BN199" s="4">
        <f t="shared" si="267"/>
        <v>-10.639926479840595</v>
      </c>
      <c r="BO199" s="4">
        <f t="shared" si="268"/>
        <v>-82.752264153208031</v>
      </c>
      <c r="BP199" s="4">
        <f t="shared" si="269"/>
        <v>-40.459022547599709</v>
      </c>
      <c r="BQ199" s="4">
        <f t="shared" si="270"/>
        <v>-15.195656696422795</v>
      </c>
      <c r="BR199" s="4">
        <f t="shared" si="271"/>
        <v>65.298990719535368</v>
      </c>
      <c r="BS199" s="4">
        <f t="shared" si="272"/>
        <v>428.77751667658083</v>
      </c>
      <c r="BT199" s="4">
        <f t="shared" si="273"/>
        <v>1356.1189981792945</v>
      </c>
      <c r="BU199" s="4">
        <f t="shared" si="274"/>
        <v>6.4453797700112867</v>
      </c>
      <c r="BV199" s="4">
        <f t="shared" si="275"/>
        <v>79.167917581264547</v>
      </c>
      <c r="BW199" s="4">
        <f t="shared" si="276"/>
        <v>-321.99637184605552</v>
      </c>
      <c r="BX199" s="4">
        <f t="shared" si="277"/>
        <v>-1413.4477205605499</v>
      </c>
      <c r="BY199" s="4">
        <f t="shared" si="278"/>
        <v>-3223.6213298992816</v>
      </c>
      <c r="BZ199" s="6">
        <f t="shared" si="279"/>
        <v>-1.2830189753967716</v>
      </c>
      <c r="CA199" s="7"/>
      <c r="CB199" s="6">
        <v>-1.283017019124145</v>
      </c>
      <c r="CC199" s="6"/>
    </row>
    <row r="200" spans="1:81" x14ac:dyDescent="0.3">
      <c r="A200" s="4">
        <v>198</v>
      </c>
      <c r="B200" s="4">
        <v>122187931</v>
      </c>
      <c r="C200" s="4">
        <v>7.9850000000000003</v>
      </c>
      <c r="D200" s="4">
        <v>3.5590000000000002</v>
      </c>
      <c r="E200" s="4">
        <v>0.45900000000000002</v>
      </c>
      <c r="F200" s="4">
        <v>2.9969999999999999</v>
      </c>
      <c r="H200" s="6">
        <v>-2618.81325553337</v>
      </c>
      <c r="I200" s="4">
        <f t="shared" si="210"/>
        <v>370.6062247685</v>
      </c>
      <c r="J200" s="4">
        <f t="shared" si="211"/>
        <v>-1751.4844808990001</v>
      </c>
      <c r="K200" s="4">
        <f t="shared" si="212"/>
        <v>1087.2914094</v>
      </c>
      <c r="L200" s="4">
        <f t="shared" si="213"/>
        <v>9684.82384164</v>
      </c>
      <c r="M200" s="4">
        <f t="shared" si="214"/>
        <v>246.36063525188453</v>
      </c>
      <c r="N200" s="4">
        <f t="shared" si="215"/>
        <v>71.890947480521049</v>
      </c>
      <c r="O200" s="4">
        <f t="shared" si="216"/>
        <v>-252.27026128242002</v>
      </c>
      <c r="P200" s="4">
        <f t="shared" si="217"/>
        <v>-917.575590360555</v>
      </c>
      <c r="Q200" s="4">
        <f t="shared" si="218"/>
        <v>-152.00990015555752</v>
      </c>
      <c r="R200" s="4">
        <f t="shared" si="219"/>
        <v>295.607240714466</v>
      </c>
      <c r="S200" s="4">
        <f t="shared" si="220"/>
        <v>4512.9678411325413</v>
      </c>
      <c r="T200" s="4">
        <f t="shared" si="221"/>
        <v>-87.447515624405995</v>
      </c>
      <c r="U200" s="4">
        <f t="shared" si="222"/>
        <v>-2828.3019487881306</v>
      </c>
      <c r="V200" s="4">
        <f t="shared" si="223"/>
        <v>-13353.532121679298</v>
      </c>
      <c r="W200" s="4">
        <f t="shared" si="224"/>
        <v>-18.423707999533963</v>
      </c>
      <c r="X200" s="4">
        <f t="shared" si="225"/>
        <v>30.109967862890759</v>
      </c>
      <c r="Y200" s="4">
        <f t="shared" si="226"/>
        <v>17.407014162755022</v>
      </c>
      <c r="Z200" s="4">
        <f t="shared" si="227"/>
        <v>-501.16476768615149</v>
      </c>
      <c r="AA200" s="4">
        <f t="shared" si="228"/>
        <v>23.499090371734642</v>
      </c>
      <c r="AB200" s="4">
        <f t="shared" si="229"/>
        <v>-140.56090084621087</v>
      </c>
      <c r="AC200" s="4">
        <f t="shared" si="230"/>
        <v>2.9560051447860016</v>
      </c>
      <c r="AD200" s="4">
        <f t="shared" si="231"/>
        <v>138.02854030094505</v>
      </c>
      <c r="AE200" s="4">
        <f t="shared" si="232"/>
        <v>218.6799292502352</v>
      </c>
      <c r="AF200" s="4">
        <f t="shared" si="233"/>
        <v>856.75825544152872</v>
      </c>
      <c r="AG200" s="4">
        <f t="shared" si="234"/>
        <v>-19.515893511998083</v>
      </c>
      <c r="AH200" s="4">
        <f t="shared" si="235"/>
        <v>91.867445318118428</v>
      </c>
      <c r="AI200" s="4">
        <f t="shared" si="236"/>
        <v>182.98386278778534</v>
      </c>
      <c r="AJ200" s="4">
        <f t="shared" si="237"/>
        <v>-11.023707321924055</v>
      </c>
      <c r="AK200" s="4">
        <f t="shared" si="238"/>
        <v>-607.86783337922702</v>
      </c>
      <c r="AL200" s="4">
        <f t="shared" si="239"/>
        <v>-3727.7262994646062</v>
      </c>
      <c r="AM200" s="4">
        <f t="shared" si="240"/>
        <v>-29.109331808085855</v>
      </c>
      <c r="AN200" s="4">
        <f t="shared" si="241"/>
        <v>204.18186849800023</v>
      </c>
      <c r="AO200" s="4">
        <f t="shared" si="242"/>
        <v>2464.5119700655737</v>
      </c>
      <c r="AP200" s="4">
        <f t="shared" si="243"/>
        <v>8061.6662864053087</v>
      </c>
      <c r="AQ200" s="4">
        <f t="shared" si="244"/>
        <v>0.30001851158591158</v>
      </c>
      <c r="AR200" s="4">
        <f t="shared" si="245"/>
        <v>-2.48339284065201</v>
      </c>
      <c r="AS200" s="4">
        <f t="shared" si="246"/>
        <v>7.6673421915387979E-2</v>
      </c>
      <c r="AT200" s="4">
        <f t="shared" si="247"/>
        <v>20.254966440306049</v>
      </c>
      <c r="AU200" s="4">
        <f t="shared" si="248"/>
        <v>3.2866801534133279</v>
      </c>
      <c r="AV200" s="4">
        <f t="shared" si="249"/>
        <v>-3.1214686648634735E-2</v>
      </c>
      <c r="AW200" s="4">
        <f t="shared" si="250"/>
        <v>-33.014373143814232</v>
      </c>
      <c r="AX200" s="4">
        <f t="shared" si="251"/>
        <v>-17.390993555782238</v>
      </c>
      <c r="AY200" s="4">
        <f t="shared" si="252"/>
        <v>34.607618039749042</v>
      </c>
      <c r="AZ200" s="4">
        <f t="shared" si="253"/>
        <v>216.73088862299545</v>
      </c>
      <c r="BA200" s="4">
        <f t="shared" si="254"/>
        <v>-0.3112337771601808</v>
      </c>
      <c r="BB200" s="4">
        <f t="shared" si="255"/>
        <v>-11.810165421730112</v>
      </c>
      <c r="BC200" s="4">
        <f t="shared" si="256"/>
        <v>-5.7217815831937395</v>
      </c>
      <c r="BD200" s="4">
        <f t="shared" si="257"/>
        <v>30.04238470480686</v>
      </c>
      <c r="BE200" s="4">
        <f t="shared" si="258"/>
        <v>73.665477460588107</v>
      </c>
      <c r="BF200" s="4">
        <f t="shared" si="259"/>
        <v>-45.153661282961572</v>
      </c>
      <c r="BG200" s="4">
        <f t="shared" si="260"/>
        <v>-7.4092357182791897</v>
      </c>
      <c r="BH200" s="4">
        <f t="shared" si="261"/>
        <v>-108.74057411078866</v>
      </c>
      <c r="BI200" s="4">
        <f t="shared" si="262"/>
        <v>-12.169987407651407</v>
      </c>
      <c r="BJ200" s="4">
        <f t="shared" si="263"/>
        <v>-278.60482339524077</v>
      </c>
      <c r="BK200" s="4">
        <f t="shared" si="264"/>
        <v>9.7467655536793554E-2</v>
      </c>
      <c r="BL200" s="4">
        <f t="shared" si="265"/>
        <v>4.5023168872798545</v>
      </c>
      <c r="BM200" s="4">
        <f t="shared" si="266"/>
        <v>9.0467253172414654</v>
      </c>
      <c r="BN200" s="4">
        <f t="shared" si="267"/>
        <v>-7.6658722394931429</v>
      </c>
      <c r="BO200" s="4">
        <f t="shared" si="268"/>
        <v>-68.474305905376966</v>
      </c>
      <c r="BP200" s="4">
        <f t="shared" si="269"/>
        <v>-38.44925626541886</v>
      </c>
      <c r="BQ200" s="4">
        <f t="shared" si="270"/>
        <v>-7.3029217848492758</v>
      </c>
      <c r="BR200" s="4">
        <f t="shared" si="271"/>
        <v>36.041963984985571</v>
      </c>
      <c r="BS200" s="4">
        <f t="shared" si="272"/>
        <v>271.80584262171629</v>
      </c>
      <c r="BT200" s="4">
        <f t="shared" si="273"/>
        <v>987.3005682757273</v>
      </c>
      <c r="BU200" s="4">
        <f t="shared" si="274"/>
        <v>2.0662359512512385</v>
      </c>
      <c r="BV200" s="4">
        <f t="shared" si="275"/>
        <v>29.147776260694428</v>
      </c>
      <c r="BW200" s="4">
        <f t="shared" si="276"/>
        <v>-136.15449621303131</v>
      </c>
      <c r="BX200" s="4">
        <f t="shared" si="277"/>
        <v>-686.41309911481926</v>
      </c>
      <c r="BY200" s="4">
        <f t="shared" si="278"/>
        <v>-1797.9376929295699</v>
      </c>
      <c r="BZ200" s="6">
        <f t="shared" si="279"/>
        <v>-0.89461740956699032</v>
      </c>
      <c r="CA200" s="7"/>
      <c r="CB200" s="6">
        <v>-0.89461620587371726</v>
      </c>
      <c r="CC200" s="6"/>
    </row>
    <row r="201" spans="1:81" x14ac:dyDescent="0.3">
      <c r="A201" s="4">
        <v>199</v>
      </c>
      <c r="B201" s="4">
        <v>122187924</v>
      </c>
      <c r="C201" s="4">
        <v>5.1150000000000002</v>
      </c>
      <c r="D201" s="4">
        <v>3.2330000000000001</v>
      </c>
      <c r="E201" s="4">
        <v>0.47</v>
      </c>
      <c r="F201" s="4">
        <v>2.9260000000000002</v>
      </c>
      <c r="H201" s="6">
        <v>-2618.81325553337</v>
      </c>
      <c r="I201" s="4">
        <f t="shared" si="210"/>
        <v>237.40148274150002</v>
      </c>
      <c r="J201" s="4">
        <f t="shared" si="211"/>
        <v>-1591.050667813</v>
      </c>
      <c r="K201" s="4">
        <f t="shared" si="212"/>
        <v>1113.3485019999998</v>
      </c>
      <c r="L201" s="4">
        <f t="shared" si="213"/>
        <v>9455.3869071200006</v>
      </c>
      <c r="M201" s="4">
        <f t="shared" si="214"/>
        <v>101.09106000234451</v>
      </c>
      <c r="N201" s="4">
        <f t="shared" si="215"/>
        <v>41.83334975476965</v>
      </c>
      <c r="O201" s="4">
        <f t="shared" si="216"/>
        <v>-165.47102113739999</v>
      </c>
      <c r="P201" s="4">
        <f t="shared" si="217"/>
        <v>-573.85232852871002</v>
      </c>
      <c r="Q201" s="4">
        <f t="shared" si="218"/>
        <v>-125.43747606671751</v>
      </c>
      <c r="R201" s="4">
        <f t="shared" si="219"/>
        <v>274.96534199285998</v>
      </c>
      <c r="S201" s="4">
        <f t="shared" si="220"/>
        <v>4002.4649205631863</v>
      </c>
      <c r="T201" s="4">
        <f t="shared" si="221"/>
        <v>-91.689123373399994</v>
      </c>
      <c r="U201" s="4">
        <f t="shared" si="222"/>
        <v>-2827.4733746182005</v>
      </c>
      <c r="V201" s="4">
        <f t="shared" si="223"/>
        <v>-12728.3266778052</v>
      </c>
      <c r="W201" s="4">
        <f t="shared" si="224"/>
        <v>-4.8427181614062293</v>
      </c>
      <c r="X201" s="4">
        <f t="shared" si="225"/>
        <v>11.223529275961301</v>
      </c>
      <c r="Y201" s="4">
        <f t="shared" si="226"/>
        <v>7.3139315279979709</v>
      </c>
      <c r="Z201" s="4">
        <f t="shared" si="227"/>
        <v>-200.7749591012639</v>
      </c>
      <c r="AA201" s="4">
        <f t="shared" si="228"/>
        <v>12.421590339693978</v>
      </c>
      <c r="AB201" s="4">
        <f t="shared" si="229"/>
        <v>-83.75256921541208</v>
      </c>
      <c r="AC201" s="4">
        <f t="shared" si="230"/>
        <v>1.6793499226974109</v>
      </c>
      <c r="AD201" s="4">
        <f t="shared" si="231"/>
        <v>92.706451402979695</v>
      </c>
      <c r="AE201" s="4">
        <f t="shared" si="232"/>
        <v>140.04009397427049</v>
      </c>
      <c r="AF201" s="4">
        <f t="shared" si="233"/>
        <v>523.12343140828534</v>
      </c>
      <c r="AG201" s="4">
        <f t="shared" si="234"/>
        <v>-14.629234097213974</v>
      </c>
      <c r="AH201" s="4">
        <f t="shared" si="235"/>
        <v>77.625112955518816</v>
      </c>
      <c r="AI201" s="4">
        <f t="shared" si="236"/>
        <v>147.41979514508003</v>
      </c>
      <c r="AJ201" s="4">
        <f t="shared" si="237"/>
        <v>-10.49967208051736</v>
      </c>
      <c r="AK201" s="4">
        <f t="shared" si="238"/>
        <v>-552.02612339463508</v>
      </c>
      <c r="AL201" s="4">
        <f t="shared" si="239"/>
        <v>-3227.7277197963381</v>
      </c>
      <c r="AM201" s="4">
        <f t="shared" si="240"/>
        <v>-31.252715155723994</v>
      </c>
      <c r="AN201" s="4">
        <f t="shared" si="241"/>
        <v>209.01386562735138</v>
      </c>
      <c r="AO201" s="4">
        <f t="shared" si="242"/>
        <v>2405.4219070951854</v>
      </c>
      <c r="AP201" s="4">
        <f t="shared" si="243"/>
        <v>7502.181262275054</v>
      </c>
      <c r="AQ201" s="4">
        <f t="shared" si="244"/>
        <v>5.0516228898689147E-2</v>
      </c>
      <c r="AR201" s="4">
        <f t="shared" si="245"/>
        <v>-0.59297351218556704</v>
      </c>
      <c r="AS201" s="4">
        <f t="shared" si="246"/>
        <v>2.0636791256866162E-2</v>
      </c>
      <c r="AT201" s="4">
        <f t="shared" si="247"/>
        <v>5.1979399688915295</v>
      </c>
      <c r="AU201" s="4">
        <f t="shared" si="248"/>
        <v>1.1128953061505953</v>
      </c>
      <c r="AV201" s="4">
        <f t="shared" si="249"/>
        <v>-1.1914156587946959E-2</v>
      </c>
      <c r="AW201" s="4">
        <f t="shared" si="250"/>
        <v>-12.014612993689457</v>
      </c>
      <c r="AX201" s="4">
        <f t="shared" si="251"/>
        <v>-7.4823182110716724</v>
      </c>
      <c r="AY201" s="4">
        <f t="shared" si="252"/>
        <v>14.196650645754683</v>
      </c>
      <c r="AZ201" s="4">
        <f t="shared" si="253"/>
        <v>84.769067256241058</v>
      </c>
      <c r="BA201" s="4">
        <f t="shared" si="254"/>
        <v>-0.14944816633435645</v>
      </c>
      <c r="BB201" s="4">
        <f t="shared" si="255"/>
        <v>-6.3924494717001092</v>
      </c>
      <c r="BC201" s="4">
        <f t="shared" si="256"/>
        <v>-2.9528746069380949</v>
      </c>
      <c r="BD201" s="4">
        <f t="shared" si="257"/>
        <v>18.329608208630731</v>
      </c>
      <c r="BE201" s="4">
        <f t="shared" si="258"/>
        <v>42.85339100316299</v>
      </c>
      <c r="BF201" s="4">
        <f t="shared" si="259"/>
        <v>-25.044742032388861</v>
      </c>
      <c r="BG201" s="4">
        <f t="shared" si="260"/>
        <v>-5.0956506580046277</v>
      </c>
      <c r="BH201" s="4">
        <f t="shared" si="261"/>
        <v>-71.305045739847472</v>
      </c>
      <c r="BI201" s="4">
        <f t="shared" si="262"/>
        <v>-7.6088877376986632</v>
      </c>
      <c r="BJ201" s="4">
        <f t="shared" si="263"/>
        <v>-166.0818160484929</v>
      </c>
      <c r="BK201" s="4">
        <f t="shared" si="264"/>
        <v>6.6369934067113057E-2</v>
      </c>
      <c r="BL201" s="4">
        <f t="shared" si="265"/>
        <v>3.4558459987725598</v>
      </c>
      <c r="BM201" s="4">
        <f t="shared" si="266"/>
        <v>6.6208253654723208</v>
      </c>
      <c r="BN201" s="4">
        <f t="shared" si="267"/>
        <v>-6.6326541917923416</v>
      </c>
      <c r="BO201" s="4">
        <f t="shared" si="268"/>
        <v>-56.487951180465245</v>
      </c>
      <c r="BP201" s="4">
        <f t="shared" si="269"/>
        <v>-30.242558850995223</v>
      </c>
      <c r="BQ201" s="4">
        <f t="shared" si="270"/>
        <v>-7.1224577731999776</v>
      </c>
      <c r="BR201" s="4">
        <f t="shared" si="271"/>
        <v>33.515375430434766</v>
      </c>
      <c r="BS201" s="4">
        <f t="shared" si="272"/>
        <v>240.98878638960824</v>
      </c>
      <c r="BT201" s="4">
        <f t="shared" si="273"/>
        <v>834.62202292324912</v>
      </c>
      <c r="BU201" s="4">
        <f t="shared" si="274"/>
        <v>2.2715411220964077</v>
      </c>
      <c r="BV201" s="4">
        <f t="shared" si="275"/>
        <v>30.552624552656358</v>
      </c>
      <c r="BW201" s="4">
        <f t="shared" si="276"/>
        <v>-136.0747327536707</v>
      </c>
      <c r="BX201" s="4">
        <f t="shared" si="277"/>
        <v>-654.08391865877968</v>
      </c>
      <c r="BY201" s="4">
        <f t="shared" si="278"/>
        <v>-1633.5218676484251</v>
      </c>
      <c r="BZ201" s="6">
        <f t="shared" si="279"/>
        <v>-1.232528020699192</v>
      </c>
      <c r="CA201" s="7"/>
      <c r="CB201" s="6">
        <v>-1.232525943421479</v>
      </c>
      <c r="CC201" s="6"/>
    </row>
    <row r="202" spans="1:81" x14ac:dyDescent="0.3">
      <c r="A202" s="4">
        <v>200</v>
      </c>
      <c r="B202" s="4">
        <v>14208683</v>
      </c>
      <c r="C202" s="4">
        <v>5.1150000000000002</v>
      </c>
      <c r="D202" s="4">
        <v>3.2549999999999999</v>
      </c>
      <c r="E202" s="4">
        <v>0.435</v>
      </c>
      <c r="F202" s="4">
        <v>2.7759999999999998</v>
      </c>
      <c r="H202" s="6">
        <v>-2618.81325553337</v>
      </c>
      <c r="I202" s="4">
        <f t="shared" si="210"/>
        <v>237.40148274150002</v>
      </c>
      <c r="J202" s="4">
        <f t="shared" si="211"/>
        <v>-1601.877489555</v>
      </c>
      <c r="K202" s="4">
        <f t="shared" si="212"/>
        <v>1030.4395709999999</v>
      </c>
      <c r="L202" s="4">
        <f t="shared" si="213"/>
        <v>8970.6609891199987</v>
      </c>
      <c r="M202" s="4">
        <f t="shared" si="214"/>
        <v>101.09106000234451</v>
      </c>
      <c r="N202" s="4">
        <f t="shared" si="215"/>
        <v>42.118018389042746</v>
      </c>
      <c r="O202" s="4">
        <f t="shared" si="216"/>
        <v>-153.14871105270001</v>
      </c>
      <c r="P202" s="4">
        <f t="shared" si="217"/>
        <v>-544.43406151595991</v>
      </c>
      <c r="Q202" s="4">
        <f t="shared" si="218"/>
        <v>-127.15044473643749</v>
      </c>
      <c r="R202" s="4">
        <f t="shared" si="219"/>
        <v>256.22095403204997</v>
      </c>
      <c r="S202" s="4">
        <f t="shared" si="220"/>
        <v>3823.1202876879602</v>
      </c>
      <c r="T202" s="4">
        <f t="shared" si="221"/>
        <v>-78.541758127349993</v>
      </c>
      <c r="U202" s="4">
        <f t="shared" si="222"/>
        <v>-2482.7618477436004</v>
      </c>
      <c r="V202" s="4">
        <f t="shared" si="223"/>
        <v>-11456.754134995199</v>
      </c>
      <c r="W202" s="4">
        <f t="shared" si="224"/>
        <v>-4.8427181614062293</v>
      </c>
      <c r="X202" s="4">
        <f t="shared" si="225"/>
        <v>11.299903431257047</v>
      </c>
      <c r="Y202" s="4">
        <f t="shared" si="226"/>
        <v>6.7692770525087607</v>
      </c>
      <c r="Z202" s="4">
        <f t="shared" si="227"/>
        <v>-190.48232620133581</v>
      </c>
      <c r="AA202" s="4">
        <f t="shared" si="228"/>
        <v>12.591219032387659</v>
      </c>
      <c r="AB202" s="4">
        <f t="shared" si="229"/>
        <v>-78.043156390107555</v>
      </c>
      <c r="AC202" s="4">
        <f t="shared" si="230"/>
        <v>1.6041006947009722</v>
      </c>
      <c r="AD202" s="4">
        <f t="shared" si="231"/>
        <v>79.41321080456693</v>
      </c>
      <c r="AE202" s="4">
        <f t="shared" si="232"/>
        <v>122.96710044907002</v>
      </c>
      <c r="AF202" s="4">
        <f t="shared" si="233"/>
        <v>470.86287833501768</v>
      </c>
      <c r="AG202" s="4">
        <f t="shared" si="234"/>
        <v>-14.929919099609631</v>
      </c>
      <c r="AH202" s="4">
        <f t="shared" si="235"/>
        <v>72.825625042885576</v>
      </c>
      <c r="AI202" s="4">
        <f t="shared" si="236"/>
        <v>141.7723440319601</v>
      </c>
      <c r="AJ202" s="4">
        <f t="shared" si="237"/>
        <v>-9.0553204132208993</v>
      </c>
      <c r="AK202" s="4">
        <f t="shared" si="238"/>
        <v>-488.02431161529347</v>
      </c>
      <c r="AL202" s="4">
        <f t="shared" si="239"/>
        <v>-2925.044383325218</v>
      </c>
      <c r="AM202" s="4">
        <f t="shared" si="240"/>
        <v>-24.777754794445499</v>
      </c>
      <c r="AN202" s="4">
        <f t="shared" si="241"/>
        <v>169.86466050303059</v>
      </c>
      <c r="AO202" s="4">
        <f t="shared" si="242"/>
        <v>2003.8856762086771</v>
      </c>
      <c r="AP202" s="4">
        <f t="shared" si="243"/>
        <v>6406.5316059073857</v>
      </c>
      <c r="AQ202" s="4">
        <f t="shared" si="244"/>
        <v>5.0516228898689147E-2</v>
      </c>
      <c r="AR202" s="4">
        <f t="shared" si="245"/>
        <v>-0.59700859330777001</v>
      </c>
      <c r="AS202" s="4">
        <f t="shared" si="246"/>
        <v>1.9100008929227193E-2</v>
      </c>
      <c r="AT202" s="4">
        <f t="shared" si="247"/>
        <v>4.9314700456742599</v>
      </c>
      <c r="AU202" s="4">
        <f t="shared" si="248"/>
        <v>1.1280929556241901</v>
      </c>
      <c r="AV202" s="4">
        <f t="shared" si="249"/>
        <v>-1.1101968507472011E-2</v>
      </c>
      <c r="AW202" s="4">
        <f t="shared" si="250"/>
        <v>-11.476255656584309</v>
      </c>
      <c r="AX202" s="4">
        <f t="shared" si="251"/>
        <v>-6.4094235558625501</v>
      </c>
      <c r="AY202" s="4">
        <f t="shared" si="252"/>
        <v>12.465865427922461</v>
      </c>
      <c r="AZ202" s="4">
        <f t="shared" si="253"/>
        <v>76.300552805664651</v>
      </c>
      <c r="BA202" s="4">
        <f t="shared" si="254"/>
        <v>-0.15251988027055155</v>
      </c>
      <c r="BB202" s="4">
        <f t="shared" si="255"/>
        <v>-5.9972103177278102</v>
      </c>
      <c r="BC202" s="4">
        <f t="shared" si="256"/>
        <v>-2.8397540116378193</v>
      </c>
      <c r="BD202" s="4">
        <f t="shared" si="257"/>
        <v>15.808158017233685</v>
      </c>
      <c r="BE202" s="4">
        <f t="shared" si="258"/>
        <v>37.884976377737274</v>
      </c>
      <c r="BF202" s="4">
        <f t="shared" si="259"/>
        <v>-22.696146754996544</v>
      </c>
      <c r="BG202" s="4">
        <f t="shared" si="260"/>
        <v>-4.0399300314574109</v>
      </c>
      <c r="BH202" s="4">
        <f t="shared" si="261"/>
        <v>-57.94930087722976</v>
      </c>
      <c r="BI202" s="4">
        <f t="shared" si="262"/>
        <v>-6.3387387902636405</v>
      </c>
      <c r="BJ202" s="4">
        <f t="shared" si="263"/>
        <v>-141.82653904026083</v>
      </c>
      <c r="BK202" s="4">
        <f t="shared" si="264"/>
        <v>6.8195000888816221E-2</v>
      </c>
      <c r="BL202" s="4">
        <f t="shared" si="265"/>
        <v>3.2642367120450935</v>
      </c>
      <c r="BM202" s="4">
        <f t="shared" si="266"/>
        <v>6.4105182028253873</v>
      </c>
      <c r="BN202" s="4">
        <f t="shared" si="267"/>
        <v>-5.7591810240697807</v>
      </c>
      <c r="BO202" s="4">
        <f t="shared" si="268"/>
        <v>-50.278572496206962</v>
      </c>
      <c r="BP202" s="4">
        <f t="shared" si="269"/>
        <v>-27.593029866147241</v>
      </c>
      <c r="BQ202" s="4">
        <f t="shared" si="270"/>
        <v>-5.6852474028946753</v>
      </c>
      <c r="BR202" s="4">
        <f t="shared" si="271"/>
        <v>27.423148468614432</v>
      </c>
      <c r="BS202" s="4">
        <f t="shared" si="272"/>
        <v>202.12675412966024</v>
      </c>
      <c r="BT202" s="4">
        <f t="shared" si="273"/>
        <v>717.58036782394481</v>
      </c>
      <c r="BU202" s="4">
        <f t="shared" si="274"/>
        <v>1.6668103917368657</v>
      </c>
      <c r="BV202" s="4">
        <f t="shared" si="275"/>
        <v>22.980943779895618</v>
      </c>
      <c r="BW202" s="4">
        <f t="shared" si="276"/>
        <v>-104.91813645044574</v>
      </c>
      <c r="BX202" s="4">
        <f t="shared" si="277"/>
        <v>-516.96398767199571</v>
      </c>
      <c r="BY202" s="4">
        <f t="shared" si="278"/>
        <v>-1323.4438271682616</v>
      </c>
      <c r="BZ202" s="6">
        <f t="shared" si="279"/>
        <v>-2.1078339747407426</v>
      </c>
      <c r="CA202" s="7"/>
      <c r="CB202" s="6">
        <v>-2.1078320896799601</v>
      </c>
      <c r="CC202" s="6"/>
    </row>
    <row r="203" spans="1:81" x14ac:dyDescent="0.3">
      <c r="A203" s="4">
        <v>201</v>
      </c>
      <c r="B203" s="4">
        <v>122187922</v>
      </c>
      <c r="C203" s="4">
        <v>6.51</v>
      </c>
      <c r="D203" s="4">
        <v>3.5579999999999998</v>
      </c>
      <c r="E203" s="4">
        <v>0.36299999999999999</v>
      </c>
      <c r="F203" s="4">
        <v>2.7810000000000001</v>
      </c>
      <c r="H203" s="6">
        <v>-2618.81325553337</v>
      </c>
      <c r="I203" s="4">
        <f t="shared" si="210"/>
        <v>302.14734167099999</v>
      </c>
      <c r="J203" s="4">
        <f t="shared" si="211"/>
        <v>-1750.9923526380001</v>
      </c>
      <c r="K203" s="4">
        <f t="shared" si="212"/>
        <v>859.88405579999994</v>
      </c>
      <c r="L203" s="4">
        <f t="shared" si="213"/>
        <v>8986.81851972</v>
      </c>
      <c r="M203" s="4">
        <f t="shared" si="214"/>
        <v>163.750807937682</v>
      </c>
      <c r="N203" s="4">
        <f t="shared" si="215"/>
        <v>58.594685993436592</v>
      </c>
      <c r="O203" s="4">
        <f t="shared" si="216"/>
        <v>-162.65449311803997</v>
      </c>
      <c r="P203" s="4">
        <f t="shared" si="217"/>
        <v>-694.16412598448994</v>
      </c>
      <c r="Q203" s="4">
        <f t="shared" si="218"/>
        <v>-151.92448934102998</v>
      </c>
      <c r="R203" s="4">
        <f t="shared" si="219"/>
        <v>233.71520247464395</v>
      </c>
      <c r="S203" s="4">
        <f t="shared" si="220"/>
        <v>4186.5322443828663</v>
      </c>
      <c r="T203" s="4">
        <f t="shared" si="221"/>
        <v>-54.693454494293995</v>
      </c>
      <c r="U203" s="4">
        <f t="shared" si="222"/>
        <v>-2075.55362349093</v>
      </c>
      <c r="V203" s="4">
        <f t="shared" si="223"/>
        <v>-11498.062030589701</v>
      </c>
      <c r="W203" s="4">
        <f t="shared" si="224"/>
        <v>-9.9837856009757253</v>
      </c>
      <c r="X203" s="4">
        <f t="shared" si="225"/>
        <v>20.007848208220956</v>
      </c>
      <c r="Y203" s="4">
        <f t="shared" si="226"/>
        <v>9.1501951882187385</v>
      </c>
      <c r="Z203" s="4">
        <f t="shared" si="227"/>
        <v>-309.10562923202218</v>
      </c>
      <c r="AA203" s="4">
        <f t="shared" si="228"/>
        <v>19.147542009627792</v>
      </c>
      <c r="AB203" s="4">
        <f t="shared" si="229"/>
        <v>-90.602982715492161</v>
      </c>
      <c r="AC203" s="4">
        <f t="shared" si="230"/>
        <v>2.2356481538062303</v>
      </c>
      <c r="AD203" s="4">
        <f t="shared" si="231"/>
        <v>70.3822007197289</v>
      </c>
      <c r="AE203" s="4">
        <f t="shared" si="232"/>
        <v>130.83477088771991</v>
      </c>
      <c r="AF203" s="4">
        <f t="shared" si="233"/>
        <v>601.44076084937126</v>
      </c>
      <c r="AG203" s="4">
        <f t="shared" si="234"/>
        <v>-19.499447535184895</v>
      </c>
      <c r="AH203" s="4">
        <f t="shared" si="235"/>
        <v>72.612516892496558</v>
      </c>
      <c r="AI203" s="4">
        <f t="shared" si="236"/>
        <v>169.70043232385675</v>
      </c>
      <c r="AJ203" s="4">
        <f t="shared" si="237"/>
        <v>-6.892765586615937</v>
      </c>
      <c r="AK203" s="4">
        <f t="shared" si="238"/>
        <v>-445.95938054558007</v>
      </c>
      <c r="AL203" s="4">
        <f t="shared" si="239"/>
        <v>-3208.8577514722074</v>
      </c>
      <c r="AM203" s="4">
        <f t="shared" si="240"/>
        <v>-14.398394050236634</v>
      </c>
      <c r="AN203" s="4">
        <f t="shared" si="241"/>
        <v>118.50025876624791</v>
      </c>
      <c r="AO203" s="4">
        <f t="shared" si="242"/>
        <v>1678.2372761428658</v>
      </c>
      <c r="AP203" s="4">
        <f t="shared" si="243"/>
        <v>6441.211420437834</v>
      </c>
      <c r="AQ203" s="4">
        <f t="shared" si="244"/>
        <v>0.13254773918257237</v>
      </c>
      <c r="AR203" s="4">
        <f t="shared" si="245"/>
        <v>-1.3453695214943988</v>
      </c>
      <c r="AS203" s="4">
        <f t="shared" si="246"/>
        <v>3.2859200314607782E-2</v>
      </c>
      <c r="AT203" s="4">
        <f t="shared" si="247"/>
        <v>10.185069061588111</v>
      </c>
      <c r="AU203" s="4">
        <f t="shared" si="248"/>
        <v>2.1833607058888904</v>
      </c>
      <c r="AV203" s="4">
        <f t="shared" si="249"/>
        <v>-1.6403745058782226E-2</v>
      </c>
      <c r="AW203" s="4">
        <f t="shared" si="250"/>
        <v>-20.356700797246607</v>
      </c>
      <c r="AX203" s="4">
        <f t="shared" si="251"/>
        <v>-7.2297688014666459</v>
      </c>
      <c r="AY203" s="4">
        <f t="shared" si="252"/>
        <v>16.880761363386323</v>
      </c>
      <c r="AZ203" s="4">
        <f t="shared" si="253"/>
        <v>124.03990920767323</v>
      </c>
      <c r="BA203" s="4">
        <f t="shared" si="254"/>
        <v>-0.25352842515831719</v>
      </c>
      <c r="BB203" s="4">
        <f t="shared" si="255"/>
        <v>-7.6104773853033887</v>
      </c>
      <c r="BC203" s="4">
        <f t="shared" si="256"/>
        <v>-4.326209045420474</v>
      </c>
      <c r="BD203" s="4">
        <f t="shared" si="257"/>
        <v>15.314622849070622</v>
      </c>
      <c r="BE203" s="4">
        <f t="shared" si="258"/>
        <v>44.061189489199784</v>
      </c>
      <c r="BF203" s="4">
        <f t="shared" si="259"/>
        <v>-31.688777598133928</v>
      </c>
      <c r="BG203" s="4">
        <f t="shared" si="260"/>
        <v>-2.9878672519406164</v>
      </c>
      <c r="BH203" s="4">
        <f t="shared" si="261"/>
        <v>-51.451710173343436</v>
      </c>
      <c r="BI203" s="4">
        <f t="shared" si="262"/>
        <v>-6.7564509506314048</v>
      </c>
      <c r="BJ203" s="4">
        <f t="shared" si="263"/>
        <v>-181.48362141181005</v>
      </c>
      <c r="BK203" s="4">
        <f t="shared" si="264"/>
        <v>9.7358156706942825E-2</v>
      </c>
      <c r="BL203" s="4">
        <f t="shared" si="265"/>
        <v>3.5576552864445063</v>
      </c>
      <c r="BM203" s="4">
        <f t="shared" si="266"/>
        <v>8.3876348854898808</v>
      </c>
      <c r="BN203" s="4">
        <f t="shared" si="267"/>
        <v>-4.7918737515495256</v>
      </c>
      <c r="BO203" s="4">
        <f t="shared" si="268"/>
        <v>-50.221737715055859</v>
      </c>
      <c r="BP203" s="4">
        <f t="shared" si="269"/>
        <v>-33.088139408058581</v>
      </c>
      <c r="BQ203" s="4">
        <f t="shared" si="270"/>
        <v>-3.6112405930959408</v>
      </c>
      <c r="BR203" s="4">
        <f t="shared" si="271"/>
        <v>20.911660956574863</v>
      </c>
      <c r="BS203" s="4">
        <f t="shared" si="272"/>
        <v>185.03725409156121</v>
      </c>
      <c r="BT203" s="4">
        <f t="shared" si="273"/>
        <v>788.62416483033951</v>
      </c>
      <c r="BU203" s="4">
        <f t="shared" si="274"/>
        <v>0.80826853352347616</v>
      </c>
      <c r="BV203" s="4">
        <f t="shared" si="275"/>
        <v>13.378317284946265</v>
      </c>
      <c r="BW203" s="4">
        <f t="shared" si="276"/>
        <v>-73.324373068110575</v>
      </c>
      <c r="BX203" s="4">
        <f t="shared" si="277"/>
        <v>-433.73277416848401</v>
      </c>
      <c r="BY203" s="4">
        <f t="shared" si="278"/>
        <v>-1333.0045167162612</v>
      </c>
      <c r="BZ203" s="6">
        <f t="shared" si="279"/>
        <v>-0.90314025427869637</v>
      </c>
      <c r="CA203" s="7"/>
      <c r="CB203" s="6">
        <v>-0.90313867728491459</v>
      </c>
      <c r="CC203" s="6"/>
    </row>
    <row r="204" spans="1:81" x14ac:dyDescent="0.3">
      <c r="A204" s="4">
        <v>202</v>
      </c>
      <c r="B204" s="4">
        <v>72545547</v>
      </c>
      <c r="C204" s="4">
        <v>2.1909999999999998</v>
      </c>
      <c r="D204" s="4">
        <v>3.0510000000000002</v>
      </c>
      <c r="E204" s="4">
        <v>0.41699999999999998</v>
      </c>
      <c r="F204" s="4">
        <v>3.3559999999999999</v>
      </c>
      <c r="H204" s="6">
        <v>-2618.81325553337</v>
      </c>
      <c r="I204" s="4">
        <f t="shared" si="210"/>
        <v>101.6904494011</v>
      </c>
      <c r="J204" s="4">
        <f t="shared" si="211"/>
        <v>-1501.4833243110002</v>
      </c>
      <c r="K204" s="4">
        <f t="shared" si="212"/>
        <v>987.80069219999996</v>
      </c>
      <c r="L204" s="4">
        <f t="shared" si="213"/>
        <v>10844.934538719999</v>
      </c>
      <c r="M204" s="4">
        <f t="shared" si="214"/>
        <v>18.54839045305442</v>
      </c>
      <c r="N204" s="4">
        <f t="shared" si="215"/>
        <v>16.910478014213066</v>
      </c>
      <c r="O204" s="4">
        <f t="shared" si="216"/>
        <v>-62.886421683875994</v>
      </c>
      <c r="P204" s="4">
        <f t="shared" si="217"/>
        <v>-281.93209471708394</v>
      </c>
      <c r="Q204" s="4">
        <f t="shared" si="218"/>
        <v>-111.71212498545752</v>
      </c>
      <c r="R204" s="4">
        <f t="shared" si="219"/>
        <v>230.22509280046199</v>
      </c>
      <c r="S204" s="4">
        <f t="shared" si="220"/>
        <v>4332.2316179942527</v>
      </c>
      <c r="T204" s="4">
        <f t="shared" si="221"/>
        <v>-72.176233473413987</v>
      </c>
      <c r="U204" s="4">
        <f t="shared" si="222"/>
        <v>-2877.2947376101201</v>
      </c>
      <c r="V204" s="4">
        <f t="shared" si="223"/>
        <v>-16744.283706907197</v>
      </c>
      <c r="W204" s="4">
        <f t="shared" si="224"/>
        <v>-0.38060931508353019</v>
      </c>
      <c r="X204" s="4">
        <f t="shared" si="225"/>
        <v>1.9433875930739435</v>
      </c>
      <c r="Y204" s="4">
        <f t="shared" si="226"/>
        <v>1.1906457505033268</v>
      </c>
      <c r="Z204" s="4">
        <f t="shared" si="227"/>
        <v>-42.252329264179885</v>
      </c>
      <c r="AA204" s="4">
        <f t="shared" si="228"/>
        <v>4.7385661510892634</v>
      </c>
      <c r="AB204" s="4">
        <f t="shared" si="229"/>
        <v>-30.03790075298614</v>
      </c>
      <c r="AC204" s="4">
        <f t="shared" si="230"/>
        <v>0.77861375468910587</v>
      </c>
      <c r="AD204" s="4">
        <f t="shared" si="231"/>
        <v>31.259576585501243</v>
      </c>
      <c r="AE204" s="4">
        <f t="shared" si="232"/>
        <v>61.042872272703377</v>
      </c>
      <c r="AF204" s="4">
        <f t="shared" si="233"/>
        <v>294.77875029809263</v>
      </c>
      <c r="AG204" s="4">
        <f t="shared" si="234"/>
        <v>-12.295072632237138</v>
      </c>
      <c r="AH204" s="4">
        <f t="shared" si="235"/>
        <v>61.335717254984488</v>
      </c>
      <c r="AI204" s="4">
        <f t="shared" si="236"/>
        <v>150.58317150826602</v>
      </c>
      <c r="AJ204" s="4">
        <f t="shared" si="237"/>
        <v>-7.7998927798618629</v>
      </c>
      <c r="AK204" s="4">
        <f t="shared" si="238"/>
        <v>-530.12948617305653</v>
      </c>
      <c r="AL204" s="4">
        <f t="shared" si="239"/>
        <v>-4007.0859298178152</v>
      </c>
      <c r="AM204" s="4">
        <f t="shared" si="240"/>
        <v>-21.827416967749041</v>
      </c>
      <c r="AN204" s="4">
        <f t="shared" si="241"/>
        <v>188.71182814344292</v>
      </c>
      <c r="AO204" s="4">
        <f t="shared" si="242"/>
        <v>2807.5320303767226</v>
      </c>
      <c r="AP204" s="4">
        <f t="shared" si="243"/>
        <v>11319.5834143915</v>
      </c>
      <c r="AQ204" s="4">
        <f t="shared" si="244"/>
        <v>1.7006615013634263E-3</v>
      </c>
      <c r="AR204" s="4">
        <f t="shared" si="245"/>
        <v>-4.3980687677359034E-2</v>
      </c>
      <c r="AS204" s="4">
        <f t="shared" si="246"/>
        <v>1.4390324483558082E-3</v>
      </c>
      <c r="AT204" s="4">
        <f t="shared" si="247"/>
        <v>0.46856420492487388</v>
      </c>
      <c r="AU204" s="4">
        <f t="shared" si="248"/>
        <v>0.18185313644226597</v>
      </c>
      <c r="AV204" s="4">
        <f t="shared" si="249"/>
        <v>-1.830338786243694E-3</v>
      </c>
      <c r="AW204" s="4">
        <f t="shared" si="250"/>
        <v>-2.3860931754738997</v>
      </c>
      <c r="AX204" s="4">
        <f t="shared" si="251"/>
        <v>-1.080702228966439</v>
      </c>
      <c r="AY204" s="4">
        <f t="shared" si="252"/>
        <v>2.6507282201110889</v>
      </c>
      <c r="AZ204" s="4">
        <f t="shared" si="253"/>
        <v>20.46096649676571</v>
      </c>
      <c r="BA204" s="4">
        <f t="shared" si="254"/>
        <v>-5.3801804172624638E-2</v>
      </c>
      <c r="BB204" s="4">
        <f t="shared" si="255"/>
        <v>-2.1635913999537846</v>
      </c>
      <c r="BC204" s="4">
        <f t="shared" si="256"/>
        <v>-1.2919996056287015</v>
      </c>
      <c r="BD204" s="4">
        <f t="shared" si="257"/>
        <v>5.8326083967105822</v>
      </c>
      <c r="BE204" s="4">
        <f t="shared" si="258"/>
        <v>17.628049584675455</v>
      </c>
      <c r="BF204" s="4">
        <f t="shared" si="259"/>
        <v>-13.318185695753195</v>
      </c>
      <c r="BG204" s="4">
        <f t="shared" si="260"/>
        <v>-1.5244422511599165</v>
      </c>
      <c r="BH204" s="4">
        <f t="shared" si="261"/>
        <v>-27.576619497599292</v>
      </c>
      <c r="BI204" s="4">
        <f t="shared" si="262"/>
        <v>-3.8040951728471031</v>
      </c>
      <c r="BJ204" s="4">
        <f t="shared" si="263"/>
        <v>-107.34003082604144</v>
      </c>
      <c r="BK204" s="4">
        <f t="shared" si="264"/>
        <v>5.2640183960867712E-2</v>
      </c>
      <c r="BL204" s="4">
        <f t="shared" si="265"/>
        <v>2.5769268292029173</v>
      </c>
      <c r="BM204" s="4">
        <f t="shared" si="266"/>
        <v>6.3821832864333823</v>
      </c>
      <c r="BN204" s="4">
        <f t="shared" si="267"/>
        <v>-4.6498265733305768</v>
      </c>
      <c r="BO204" s="4">
        <f t="shared" si="268"/>
        <v>-51.193480453840067</v>
      </c>
      <c r="BP204" s="4">
        <f t="shared" si="269"/>
        <v>-35.431276670031025</v>
      </c>
      <c r="BQ204" s="4">
        <f t="shared" si="270"/>
        <v>-4.6944095673495294</v>
      </c>
      <c r="BR204" s="4">
        <f t="shared" si="271"/>
        <v>28.556476236881121</v>
      </c>
      <c r="BS204" s="4">
        <f t="shared" si="272"/>
        <v>265.44026081145904</v>
      </c>
      <c r="BT204" s="4">
        <f t="shared" si="273"/>
        <v>1188.4180360466032</v>
      </c>
      <c r="BU204" s="4">
        <f t="shared" si="274"/>
        <v>1.4075809855149275</v>
      </c>
      <c r="BV204" s="4">
        <f t="shared" si="275"/>
        <v>24.474326233882849</v>
      </c>
      <c r="BW204" s="4">
        <f t="shared" si="276"/>
        <v>-140.91237827809664</v>
      </c>
      <c r="BX204" s="4">
        <f t="shared" si="277"/>
        <v>-875.61775619617868</v>
      </c>
      <c r="BY204" s="4">
        <f t="shared" si="278"/>
        <v>-2826.9327302891775</v>
      </c>
      <c r="BZ204" s="6">
        <f t="shared" si="279"/>
        <v>-2.053593625385929</v>
      </c>
      <c r="CA204" s="7"/>
      <c r="CB204" s="6">
        <v>-2.0535900481040699</v>
      </c>
      <c r="CC204" s="6"/>
    </row>
    <row r="205" spans="1:81" x14ac:dyDescent="0.3">
      <c r="A205" s="4">
        <v>203</v>
      </c>
      <c r="B205" s="4">
        <v>72545545</v>
      </c>
      <c r="C205" s="4">
        <v>2.0720000000000001</v>
      </c>
      <c r="D205" s="4">
        <v>3.2549999999999999</v>
      </c>
      <c r="E205" s="4">
        <v>0.46300000000000002</v>
      </c>
      <c r="F205" s="4">
        <v>3.3149999999999999</v>
      </c>
      <c r="H205" s="6">
        <v>-2618.81325553337</v>
      </c>
      <c r="I205" s="4">
        <f t="shared" si="210"/>
        <v>96.167325951199999</v>
      </c>
      <c r="J205" s="4">
        <f t="shared" si="211"/>
        <v>-1601.877489555</v>
      </c>
      <c r="K205" s="4">
        <f t="shared" si="212"/>
        <v>1096.7667157999999</v>
      </c>
      <c r="L205" s="4">
        <f t="shared" si="213"/>
        <v>10712.442787800001</v>
      </c>
      <c r="M205" s="4">
        <f t="shared" si="214"/>
        <v>16.58826545065088</v>
      </c>
      <c r="N205" s="4">
        <f t="shared" si="215"/>
        <v>17.061296989657198</v>
      </c>
      <c r="O205" s="4">
        <f t="shared" si="216"/>
        <v>-66.031200488288007</v>
      </c>
      <c r="P205" s="4">
        <f t="shared" si="217"/>
        <v>-263.36221865772001</v>
      </c>
      <c r="Q205" s="4">
        <f t="shared" si="218"/>
        <v>-127.15044473643749</v>
      </c>
      <c r="R205" s="4">
        <f t="shared" si="219"/>
        <v>272.71333728008995</v>
      </c>
      <c r="S205" s="4">
        <f t="shared" si="220"/>
        <v>4565.433628849275</v>
      </c>
      <c r="T205" s="4">
        <f t="shared" si="221"/>
        <v>-88.978296461894004</v>
      </c>
      <c r="U205" s="4">
        <f t="shared" si="222"/>
        <v>-3155.6648184769506</v>
      </c>
      <c r="V205" s="4">
        <f t="shared" si="223"/>
        <v>-16337.655532282499</v>
      </c>
      <c r="W205" s="4">
        <f t="shared" si="224"/>
        <v>-0.32190041278644482</v>
      </c>
      <c r="X205" s="4">
        <f t="shared" si="225"/>
        <v>1.8542272450211263</v>
      </c>
      <c r="Y205" s="4">
        <f t="shared" si="226"/>
        <v>1.18228518988606</v>
      </c>
      <c r="Z205" s="4">
        <f t="shared" si="227"/>
        <v>-37.325615941191181</v>
      </c>
      <c r="AA205" s="4">
        <f t="shared" si="228"/>
        <v>5.1004898993367016</v>
      </c>
      <c r="AB205" s="4">
        <f t="shared" si="229"/>
        <v>-33.648884609683144</v>
      </c>
      <c r="AC205" s="4">
        <f t="shared" si="230"/>
        <v>0.77596085140322113</v>
      </c>
      <c r="AD205" s="4">
        <f t="shared" si="231"/>
        <v>36.443521583771272</v>
      </c>
      <c r="AE205" s="4">
        <f t="shared" si="232"/>
        <v>63.312410764010778</v>
      </c>
      <c r="AF205" s="4">
        <f t="shared" si="233"/>
        <v>271.9986246392852</v>
      </c>
      <c r="AG205" s="4">
        <f t="shared" si="234"/>
        <v>-14.929919099609631</v>
      </c>
      <c r="AH205" s="4">
        <f t="shared" si="235"/>
        <v>77.513251482427634</v>
      </c>
      <c r="AI205" s="4">
        <f t="shared" si="236"/>
        <v>169.29946702663824</v>
      </c>
      <c r="AJ205" s="4">
        <f t="shared" si="237"/>
        <v>-10.258580957388036</v>
      </c>
      <c r="AK205" s="4">
        <f t="shared" si="238"/>
        <v>-620.2935461270456</v>
      </c>
      <c r="AL205" s="4">
        <f t="shared" si="239"/>
        <v>-4171.1960463071528</v>
      </c>
      <c r="AM205" s="4">
        <f t="shared" si="240"/>
        <v>-29.877011410628242</v>
      </c>
      <c r="AN205" s="4">
        <f t="shared" si="241"/>
        <v>229.80029112652622</v>
      </c>
      <c r="AO205" s="4">
        <f t="shared" si="242"/>
        <v>3041.5349896194866</v>
      </c>
      <c r="AP205" s="4">
        <f t="shared" si="243"/>
        <v>10909.759726290087</v>
      </c>
      <c r="AQ205" s="4">
        <f t="shared" si="244"/>
        <v>1.3602144198293839E-3</v>
      </c>
      <c r="AR205" s="4">
        <f t="shared" si="245"/>
        <v>-3.968376977920629E-2</v>
      </c>
      <c r="AS205" s="4">
        <f t="shared" si="246"/>
        <v>1.3513182541159225E-3</v>
      </c>
      <c r="AT205" s="4">
        <f t="shared" si="247"/>
        <v>0.39144685624473002</v>
      </c>
      <c r="AU205" s="4">
        <f t="shared" si="248"/>
        <v>0.18511137780600379</v>
      </c>
      <c r="AV205" s="4">
        <f t="shared" si="249"/>
        <v>-1.9390095638205703E-3</v>
      </c>
      <c r="AW205" s="4">
        <f t="shared" si="250"/>
        <v>-2.2488086932948468</v>
      </c>
      <c r="AX205" s="4">
        <f t="shared" si="251"/>
        <v>-1.1914907259146668</v>
      </c>
      <c r="AY205" s="4">
        <f t="shared" si="252"/>
        <v>2.5999587959167907</v>
      </c>
      <c r="AZ205" s="4">
        <f t="shared" si="253"/>
        <v>17.854350346056478</v>
      </c>
      <c r="BA205" s="4">
        <f t="shared" si="254"/>
        <v>-6.1783224226897908E-2</v>
      </c>
      <c r="BB205" s="4">
        <f t="shared" si="255"/>
        <v>-2.5857416241919648</v>
      </c>
      <c r="BC205" s="4">
        <f t="shared" si="256"/>
        <v>-1.3736905344692008</v>
      </c>
      <c r="BD205" s="4">
        <f t="shared" si="257"/>
        <v>7.2545227936759344</v>
      </c>
      <c r="BE205" s="4">
        <f t="shared" si="258"/>
        <v>19.505942463086576</v>
      </c>
      <c r="BF205" s="4">
        <f t="shared" si="259"/>
        <v>-13.110654897662446</v>
      </c>
      <c r="BG205" s="4">
        <f t="shared" si="260"/>
        <v>-1.9733001947054263</v>
      </c>
      <c r="BH205" s="4">
        <f t="shared" si="261"/>
        <v>-31.757028072398843</v>
      </c>
      <c r="BI205" s="4">
        <f t="shared" si="262"/>
        <v>-3.8973269848805905</v>
      </c>
      <c r="BJ205" s="4">
        <f t="shared" si="263"/>
        <v>-97.834905744083684</v>
      </c>
      <c r="BK205" s="4">
        <f t="shared" si="264"/>
        <v>6.8195000888816221E-2</v>
      </c>
      <c r="BL205" s="4">
        <f t="shared" si="265"/>
        <v>3.4743485004066166</v>
      </c>
      <c r="BM205" s="4">
        <f t="shared" si="266"/>
        <v>7.6552117587774351</v>
      </c>
      <c r="BN205" s="4">
        <f t="shared" si="267"/>
        <v>-6.5244543635820582</v>
      </c>
      <c r="BO205" s="4">
        <f t="shared" si="268"/>
        <v>-63.905574549455743</v>
      </c>
      <c r="BP205" s="4">
        <f t="shared" si="269"/>
        <v>-39.348441254237116</v>
      </c>
      <c r="BQ205" s="4">
        <f t="shared" si="270"/>
        <v>-6.8552700976202399</v>
      </c>
      <c r="BR205" s="4">
        <f t="shared" si="271"/>
        <v>37.099226425505471</v>
      </c>
      <c r="BS205" s="4">
        <f t="shared" si="272"/>
        <v>306.79175080822137</v>
      </c>
      <c r="BT205" s="4">
        <f t="shared" si="273"/>
        <v>1221.976239068799</v>
      </c>
      <c r="BU205" s="4">
        <f t="shared" si="274"/>
        <v>2.1392085989910568</v>
      </c>
      <c r="BV205" s="4">
        <f t="shared" si="275"/>
        <v>33.090789842938463</v>
      </c>
      <c r="BW205" s="4">
        <f t="shared" si="276"/>
        <v>-169.49706333257961</v>
      </c>
      <c r="BX205" s="4">
        <f t="shared" si="277"/>
        <v>-937.01002546715347</v>
      </c>
      <c r="BY205" s="4">
        <f t="shared" si="278"/>
        <v>-2691.2980484526979</v>
      </c>
      <c r="BZ205" s="6">
        <f t="shared" si="279"/>
        <v>-2.0623740414016538</v>
      </c>
      <c r="CA205" s="7"/>
      <c r="CB205" s="6">
        <v>-2.0623707303730039</v>
      </c>
      <c r="CC205" s="6"/>
    </row>
    <row r="206" spans="1:81" x14ac:dyDescent="0.3">
      <c r="A206" s="4">
        <v>204</v>
      </c>
      <c r="B206" s="4">
        <v>72545541</v>
      </c>
      <c r="C206" s="4">
        <v>2.1240000000000001</v>
      </c>
      <c r="D206" s="4">
        <v>2.8279999999999998</v>
      </c>
      <c r="E206" s="4">
        <v>0.45800000000000002</v>
      </c>
      <c r="F206" s="4">
        <v>3.1379999999999999</v>
      </c>
      <c r="H206" s="6">
        <v>-2618.81325553337</v>
      </c>
      <c r="I206" s="4">
        <f t="shared" si="210"/>
        <v>98.58079166040001</v>
      </c>
      <c r="J206" s="4">
        <f t="shared" si="211"/>
        <v>-1391.738722108</v>
      </c>
      <c r="K206" s="4">
        <f t="shared" si="212"/>
        <v>1084.9225827999999</v>
      </c>
      <c r="L206" s="4">
        <f t="shared" si="213"/>
        <v>10140.46620456</v>
      </c>
      <c r="M206" s="4">
        <f t="shared" si="214"/>
        <v>17.431328970688323</v>
      </c>
      <c r="N206" s="4">
        <f t="shared" si="215"/>
        <v>15.195157866937437</v>
      </c>
      <c r="O206" s="4">
        <f t="shared" si="216"/>
        <v>-66.957378421535992</v>
      </c>
      <c r="P206" s="4">
        <f t="shared" si="217"/>
        <v>-255.55691689264802</v>
      </c>
      <c r="Q206" s="4">
        <f t="shared" si="218"/>
        <v>-95.978665686679989</v>
      </c>
      <c r="R206" s="4">
        <f t="shared" si="219"/>
        <v>234.37931314526398</v>
      </c>
      <c r="S206" s="4">
        <f t="shared" si="220"/>
        <v>3754.7398523108877</v>
      </c>
      <c r="T206" s="4">
        <f t="shared" si="221"/>
        <v>-87.066895768663997</v>
      </c>
      <c r="U206" s="4">
        <f t="shared" si="222"/>
        <v>-2954.9134275932406</v>
      </c>
      <c r="V206" s="4">
        <f t="shared" si="223"/>
        <v>-14639.577666598798</v>
      </c>
      <c r="W206" s="4">
        <f t="shared" si="224"/>
        <v>-0.34674947932062244</v>
      </c>
      <c r="X206" s="4">
        <f t="shared" si="225"/>
        <v>1.6928594139543249</v>
      </c>
      <c r="Y206" s="4">
        <f t="shared" si="226"/>
        <v>1.2289557871387284</v>
      </c>
      <c r="Z206" s="4">
        <f t="shared" si="227"/>
        <v>-37.12837247354414</v>
      </c>
      <c r="AA206" s="4">
        <f t="shared" si="228"/>
        <v>3.9466942016800548</v>
      </c>
      <c r="AB206" s="4">
        <f t="shared" si="229"/>
        <v>-29.644786940712045</v>
      </c>
      <c r="AC206" s="4">
        <f t="shared" si="230"/>
        <v>0.65418772510734613</v>
      </c>
      <c r="AD206" s="4">
        <f t="shared" si="231"/>
        <v>36.555613091851654</v>
      </c>
      <c r="AE206" s="4">
        <f t="shared" si="232"/>
        <v>60.772556410126533</v>
      </c>
      <c r="AF206" s="4">
        <f t="shared" si="233"/>
        <v>249.8447812747186</v>
      </c>
      <c r="AG206" s="4">
        <f t="shared" si="234"/>
        <v>-9.7913526158937039</v>
      </c>
      <c r="AH206" s="4">
        <f t="shared" si="235"/>
        <v>57.878499863895733</v>
      </c>
      <c r="AI206" s="4">
        <f t="shared" si="236"/>
        <v>120.97115351285302</v>
      </c>
      <c r="AJ206" s="4">
        <f t="shared" si="237"/>
        <v>-8.7213692908474485</v>
      </c>
      <c r="AK206" s="4">
        <f t="shared" si="238"/>
        <v>-504.63755592687488</v>
      </c>
      <c r="AL206" s="4">
        <f t="shared" si="239"/>
        <v>-3247.340488337582</v>
      </c>
      <c r="AM206" s="4">
        <f t="shared" si="240"/>
        <v>-28.919488939847458</v>
      </c>
      <c r="AN206" s="4">
        <f t="shared" si="241"/>
        <v>212.85749899462445</v>
      </c>
      <c r="AO206" s="4">
        <f t="shared" si="242"/>
        <v>2695.9765910120591</v>
      </c>
      <c r="AP206" s="4">
        <f t="shared" si="243"/>
        <v>9253.8702402288309</v>
      </c>
      <c r="AQ206" s="4">
        <f t="shared" si="244"/>
        <v>1.5019878511939335E-3</v>
      </c>
      <c r="AR206" s="4">
        <f t="shared" si="245"/>
        <v>-3.7139462804125382E-2</v>
      </c>
      <c r="AS206" s="4">
        <f t="shared" si="246"/>
        <v>1.4399135362366709E-3</v>
      </c>
      <c r="AT206" s="4">
        <f t="shared" si="247"/>
        <v>0.39915033680224909</v>
      </c>
      <c r="AU206" s="4">
        <f t="shared" si="248"/>
        <v>0.14683157606051969</v>
      </c>
      <c r="AV206" s="4">
        <f t="shared" si="249"/>
        <v>-1.7511460669094813E-3</v>
      </c>
      <c r="AW206" s="4">
        <f t="shared" si="250"/>
        <v>-1.9434790026417013</v>
      </c>
      <c r="AX206" s="4">
        <f t="shared" si="251"/>
        <v>-1.2251497139634373</v>
      </c>
      <c r="AY206" s="4">
        <f t="shared" si="252"/>
        <v>2.5582906377625267</v>
      </c>
      <c r="AZ206" s="4">
        <f t="shared" si="253"/>
        <v>16.811729288050714</v>
      </c>
      <c r="BA206" s="4">
        <f t="shared" si="254"/>
        <v>-4.153560748651873E-2</v>
      </c>
      <c r="BB206" s="4">
        <f t="shared" si="255"/>
        <v>-1.9792069136632675</v>
      </c>
      <c r="BC206" s="4">
        <f t="shared" si="256"/>
        <v>-1.0061897711396837</v>
      </c>
      <c r="BD206" s="4">
        <f t="shared" si="257"/>
        <v>6.3222402759215628</v>
      </c>
      <c r="BE206" s="4">
        <f t="shared" si="258"/>
        <v>16.267244935934176</v>
      </c>
      <c r="BF206" s="4">
        <f t="shared" si="259"/>
        <v>-10.463003545769233</v>
      </c>
      <c r="BG206" s="4">
        <f t="shared" si="260"/>
        <v>-1.9579941099947393</v>
      </c>
      <c r="BH206" s="4">
        <f t="shared" si="261"/>
        <v>-30.153865598149256</v>
      </c>
      <c r="BI206" s="4">
        <f t="shared" si="262"/>
        <v>-3.5412362877796877</v>
      </c>
      <c r="BJ206" s="4">
        <f t="shared" si="263"/>
        <v>-85.068115450376013</v>
      </c>
      <c r="BK206" s="4">
        <f t="shared" si="264"/>
        <v>3.8856724510446937E-2</v>
      </c>
      <c r="BL206" s="4">
        <f t="shared" si="265"/>
        <v>2.2539439010593676</v>
      </c>
      <c r="BM206" s="4">
        <f t="shared" si="266"/>
        <v>4.7523875759362699</v>
      </c>
      <c r="BN206" s="4">
        <f t="shared" si="267"/>
        <v>-4.8191450271824312</v>
      </c>
      <c r="BO206" s="4">
        <f t="shared" si="268"/>
        <v>-45.169934594162441</v>
      </c>
      <c r="BP206" s="4">
        <f t="shared" si="269"/>
        <v>-26.614797758787468</v>
      </c>
      <c r="BQ206" s="4">
        <f t="shared" si="270"/>
        <v>-5.7650946766279851</v>
      </c>
      <c r="BR206" s="4">
        <f t="shared" si="271"/>
        <v>29.8560016949024</v>
      </c>
      <c r="BS206" s="4">
        <f t="shared" si="272"/>
        <v>236.26282368085711</v>
      </c>
      <c r="BT206" s="4">
        <f t="shared" si="273"/>
        <v>900.53250415402306</v>
      </c>
      <c r="BU206" s="4">
        <f t="shared" si="274"/>
        <v>2.0482882968002158</v>
      </c>
      <c r="BV206" s="4">
        <f t="shared" si="275"/>
        <v>30.320056127438715</v>
      </c>
      <c r="BW206" s="4">
        <f t="shared" si="276"/>
        <v>-148.61750467205363</v>
      </c>
      <c r="BX206" s="4">
        <f t="shared" si="277"/>
        <v>-786.20706858180836</v>
      </c>
      <c r="BY206" s="4">
        <f t="shared" si="278"/>
        <v>-2160.9236495157706</v>
      </c>
      <c r="BZ206" s="6">
        <f t="shared" si="279"/>
        <v>-2.1308001053221233</v>
      </c>
      <c r="CA206" s="7"/>
      <c r="CB206" s="6">
        <v>-2.1307964844882008</v>
      </c>
      <c r="CC206" s="6"/>
    </row>
    <row r="207" spans="1:81" x14ac:dyDescent="0.3">
      <c r="A207" s="4">
        <v>205</v>
      </c>
      <c r="B207" s="4">
        <v>3132624</v>
      </c>
      <c r="C207" s="4">
        <v>2.4169999999999998</v>
      </c>
      <c r="D207" s="4">
        <v>4.88</v>
      </c>
      <c r="E207" s="4">
        <v>0.59899999999999998</v>
      </c>
      <c r="F207" s="4">
        <v>3.0670000000000002</v>
      </c>
      <c r="H207" s="6">
        <v>-2618.81325553337</v>
      </c>
      <c r="I207" s="4">
        <f t="shared" si="210"/>
        <v>112.1797426757</v>
      </c>
      <c r="J207" s="4">
        <f t="shared" si="211"/>
        <v>-2401.58591368</v>
      </c>
      <c r="K207" s="4">
        <f t="shared" si="212"/>
        <v>1418.9271333999998</v>
      </c>
      <c r="L207" s="4">
        <f t="shared" si="213"/>
        <v>9911.0292700400005</v>
      </c>
      <c r="M207" s="4">
        <f t="shared" si="214"/>
        <v>22.572246021888979</v>
      </c>
      <c r="N207" s="4">
        <f t="shared" si="215"/>
        <v>29.837866831119197</v>
      </c>
      <c r="O207" s="4">
        <f t="shared" si="216"/>
        <v>-99.651060250563987</v>
      </c>
      <c r="P207" s="4">
        <f t="shared" si="217"/>
        <v>-284.23045793578098</v>
      </c>
      <c r="Q207" s="4">
        <f t="shared" si="218"/>
        <v>-285.795602288</v>
      </c>
      <c r="R207" s="4">
        <f t="shared" si="219"/>
        <v>528.95781566831999</v>
      </c>
      <c r="S207" s="4">
        <f t="shared" si="220"/>
        <v>6332.5861367143207</v>
      </c>
      <c r="T207" s="4">
        <f t="shared" si="221"/>
        <v>-148.92779155952599</v>
      </c>
      <c r="U207" s="4">
        <f t="shared" si="222"/>
        <v>-3777.1735745062306</v>
      </c>
      <c r="V207" s="4">
        <f t="shared" si="223"/>
        <v>-13984.6055613753</v>
      </c>
      <c r="W207" s="4">
        <f t="shared" si="224"/>
        <v>-0.51095450382018814</v>
      </c>
      <c r="X207" s="4">
        <f t="shared" si="225"/>
        <v>3.7827321086403214</v>
      </c>
      <c r="Y207" s="4">
        <f t="shared" si="226"/>
        <v>2.0813344821733035</v>
      </c>
      <c r="Z207" s="4">
        <f t="shared" si="227"/>
        <v>-46.990603751376355</v>
      </c>
      <c r="AA207" s="4">
        <f t="shared" si="228"/>
        <v>13.373234172011561</v>
      </c>
      <c r="AB207" s="4">
        <f t="shared" si="229"/>
        <v>-76.132875405706898</v>
      </c>
      <c r="AC207" s="4">
        <f t="shared" si="230"/>
        <v>1.2555262077227063</v>
      </c>
      <c r="AD207" s="4">
        <f t="shared" si="231"/>
        <v>71.153931087570328</v>
      </c>
      <c r="AE207" s="4">
        <f t="shared" si="232"/>
        <v>88.39991034113973</v>
      </c>
      <c r="AF207" s="4">
        <f t="shared" si="233"/>
        <v>271.5901993382318</v>
      </c>
      <c r="AG207" s="4">
        <f t="shared" si="234"/>
        <v>-50.311114932283395</v>
      </c>
      <c r="AH207" s="4">
        <f t="shared" si="235"/>
        <v>225.40287148926848</v>
      </c>
      <c r="AI207" s="4">
        <f t="shared" si="236"/>
        <v>352.06551869622115</v>
      </c>
      <c r="AJ207" s="4">
        <f t="shared" si="237"/>
        <v>-25.742325766199738</v>
      </c>
      <c r="AK207" s="4">
        <f t="shared" si="238"/>
        <v>-1113.1204619889083</v>
      </c>
      <c r="AL207" s="4">
        <f t="shared" si="239"/>
        <v>-5352.9097070185726</v>
      </c>
      <c r="AM207" s="4">
        <f t="shared" si="240"/>
        <v>-64.695585418479197</v>
      </c>
      <c r="AN207" s="4">
        <f t="shared" si="241"/>
        <v>355.85451508562062</v>
      </c>
      <c r="AO207" s="4">
        <f t="shared" si="242"/>
        <v>3368.2097972906904</v>
      </c>
      <c r="AP207" s="4">
        <f t="shared" si="243"/>
        <v>8639.844291448906</v>
      </c>
      <c r="AQ207" s="4">
        <f t="shared" si="244"/>
        <v>2.5185754857461832E-3</v>
      </c>
      <c r="AR207" s="4">
        <f t="shared" si="245"/>
        <v>-9.4437057897942323E-2</v>
      </c>
      <c r="AS207" s="4">
        <f t="shared" si="246"/>
        <v>2.7750075739091792E-3</v>
      </c>
      <c r="AT207" s="4">
        <f t="shared" si="247"/>
        <v>0.57486219760518997</v>
      </c>
      <c r="AU207" s="4">
        <f t="shared" si="248"/>
        <v>0.56616702348934556</v>
      </c>
      <c r="AV207" s="4">
        <f t="shared" si="249"/>
        <v>-5.1176244229004138E-3</v>
      </c>
      <c r="AW207" s="4">
        <f t="shared" si="250"/>
        <v>-4.2444887075320636</v>
      </c>
      <c r="AX207" s="4">
        <f t="shared" si="251"/>
        <v>-2.7136643404351175</v>
      </c>
      <c r="AY207" s="4">
        <f t="shared" si="252"/>
        <v>4.2346384702858995</v>
      </c>
      <c r="AZ207" s="4">
        <f t="shared" si="253"/>
        <v>20.795929553934528</v>
      </c>
      <c r="BA207" s="4">
        <f t="shared" si="254"/>
        <v>-0.24286445391996553</v>
      </c>
      <c r="BB207" s="4">
        <f t="shared" si="255"/>
        <v>-8.7711293455366555</v>
      </c>
      <c r="BC207" s="4">
        <f t="shared" si="256"/>
        <v>-3.3322970334200273</v>
      </c>
      <c r="BD207" s="4">
        <f t="shared" si="257"/>
        <v>21.235194381738935</v>
      </c>
      <c r="BE207" s="4">
        <f t="shared" si="258"/>
        <v>40.83182034661592</v>
      </c>
      <c r="BF207" s="4">
        <f t="shared" si="259"/>
        <v>-19.626397966637882</v>
      </c>
      <c r="BG207" s="4">
        <f t="shared" si="260"/>
        <v>-4.9844535386668687</v>
      </c>
      <c r="BH207" s="4">
        <f t="shared" si="261"/>
        <v>-57.365219311383342</v>
      </c>
      <c r="BI207" s="4">
        <f t="shared" si="262"/>
        <v>-5.0345430835511538</v>
      </c>
      <c r="BJ207" s="4">
        <f t="shared" si="263"/>
        <v>-90.379817490092663</v>
      </c>
      <c r="BK207" s="4">
        <f t="shared" si="264"/>
        <v>0.34453064387189453</v>
      </c>
      <c r="BL207" s="4">
        <f t="shared" si="265"/>
        <v>15.146967640594912</v>
      </c>
      <c r="BM207" s="4">
        <f t="shared" si="266"/>
        <v>23.866786008462711</v>
      </c>
      <c r="BN207" s="4">
        <f t="shared" si="267"/>
        <v>-24.545592430918173</v>
      </c>
      <c r="BO207" s="4">
        <f t="shared" si="268"/>
        <v>-171.93032201227001</v>
      </c>
      <c r="BP207" s="4">
        <f t="shared" si="269"/>
        <v>-75.705194158700195</v>
      </c>
      <c r="BQ207" s="4">
        <f t="shared" si="270"/>
        <v>-22.255168862938511</v>
      </c>
      <c r="BR207" s="4">
        <f t="shared" si="271"/>
        <v>86.130226460840461</v>
      </c>
      <c r="BS207" s="4">
        <f t="shared" si="272"/>
        <v>509.35294887498759</v>
      </c>
      <c r="BT207" s="4">
        <f t="shared" si="273"/>
        <v>1450.8493520122925</v>
      </c>
      <c r="BU207" s="4">
        <f t="shared" si="274"/>
        <v>5.9928921372851987</v>
      </c>
      <c r="BV207" s="4">
        <f t="shared" si="275"/>
        <v>66.294098738838045</v>
      </c>
      <c r="BW207" s="4">
        <f t="shared" si="276"/>
        <v>-242.83670273690328</v>
      </c>
      <c r="BX207" s="4">
        <f t="shared" si="277"/>
        <v>-960.02114497152172</v>
      </c>
      <c r="BY207" s="4">
        <f t="shared" si="278"/>
        <v>-1971.8903853166171</v>
      </c>
      <c r="BZ207" s="6">
        <f t="shared" si="279"/>
        <v>-1.8500051840333072</v>
      </c>
      <c r="CA207" s="7"/>
      <c r="CB207" s="6">
        <v>-1.850004485024783</v>
      </c>
      <c r="CC207" s="6"/>
    </row>
    <row r="208" spans="1:81" x14ac:dyDescent="0.3">
      <c r="A208" s="4">
        <v>206</v>
      </c>
      <c r="B208" s="4">
        <v>72545060</v>
      </c>
      <c r="C208" s="4">
        <v>2.125</v>
      </c>
      <c r="D208" s="4">
        <v>2.714</v>
      </c>
      <c r="E208" s="4">
        <v>0.442</v>
      </c>
      <c r="F208" s="4">
        <v>3.278</v>
      </c>
      <c r="H208" s="6">
        <v>-2618.81325553337</v>
      </c>
      <c r="I208" s="4">
        <f t="shared" si="210"/>
        <v>98.627204462500004</v>
      </c>
      <c r="J208" s="4">
        <f t="shared" si="211"/>
        <v>-1335.6361003540001</v>
      </c>
      <c r="K208" s="4">
        <f t="shared" si="212"/>
        <v>1047.0213572</v>
      </c>
      <c r="L208" s="4">
        <f t="shared" si="213"/>
        <v>10592.877061360001</v>
      </c>
      <c r="M208" s="4">
        <f t="shared" si="214"/>
        <v>17.447746515312502</v>
      </c>
      <c r="N208" s="4">
        <f t="shared" si="215"/>
        <v>14.589488856407499</v>
      </c>
      <c r="O208" s="4">
        <f t="shared" si="216"/>
        <v>-64.648678939000007</v>
      </c>
      <c r="P208" s="4">
        <f t="shared" si="217"/>
        <v>-267.08412309425</v>
      </c>
      <c r="Q208" s="4">
        <f t="shared" si="218"/>
        <v>-88.39660474966999</v>
      </c>
      <c r="R208" s="4">
        <f t="shared" si="219"/>
        <v>217.07334908656799</v>
      </c>
      <c r="S208" s="4">
        <f t="shared" si="220"/>
        <v>3764.1446161805648</v>
      </c>
      <c r="T208" s="4">
        <f t="shared" si="221"/>
        <v>-81.089877314264001</v>
      </c>
      <c r="U208" s="4">
        <f t="shared" si="222"/>
        <v>-2978.9112382915605</v>
      </c>
      <c r="V208" s="4">
        <f t="shared" si="223"/>
        <v>-15974.989008646799</v>
      </c>
      <c r="W208" s="4">
        <f t="shared" si="224"/>
        <v>-0.34723946909179693</v>
      </c>
      <c r="X208" s="4">
        <f t="shared" si="225"/>
        <v>1.6261483960961562</v>
      </c>
      <c r="Y208" s="4">
        <f t="shared" si="226"/>
        <v>1.1871398791017187</v>
      </c>
      <c r="Z208" s="4">
        <f t="shared" si="227"/>
        <v>-38.821361841078442</v>
      </c>
      <c r="AA208" s="4">
        <f t="shared" si="228"/>
        <v>3.6366271440134912</v>
      </c>
      <c r="AB208" s="4">
        <f t="shared" si="229"/>
        <v>-27.468818824794752</v>
      </c>
      <c r="AC208" s="4">
        <f t="shared" si="230"/>
        <v>0.65613508506689433</v>
      </c>
      <c r="AD208" s="4">
        <f t="shared" si="231"/>
        <v>34.062151537958705</v>
      </c>
      <c r="AE208" s="4">
        <f t="shared" si="232"/>
        <v>61.294954743615456</v>
      </c>
      <c r="AF208" s="4">
        <f t="shared" si="233"/>
        <v>272.76379507383768</v>
      </c>
      <c r="AG208" s="4">
        <f t="shared" si="234"/>
        <v>-8.6543410465271116</v>
      </c>
      <c r="AH208" s="4">
        <f t="shared" si="235"/>
        <v>51.444024214936228</v>
      </c>
      <c r="AI208" s="4">
        <f t="shared" si="236"/>
        <v>116.38545485767997</v>
      </c>
      <c r="AJ208" s="4">
        <f t="shared" si="237"/>
        <v>-7.7952257554778042</v>
      </c>
      <c r="AK208" s="4">
        <f t="shared" si="238"/>
        <v>-488.22814063723354</v>
      </c>
      <c r="AL208" s="4">
        <f t="shared" si="239"/>
        <v>-3400.7153803031656</v>
      </c>
      <c r="AM208" s="4">
        <f t="shared" si="240"/>
        <v>-25.993274188838942</v>
      </c>
      <c r="AN208" s="4">
        <f t="shared" si="241"/>
        <v>207.08972323811543</v>
      </c>
      <c r="AO208" s="4">
        <f t="shared" si="242"/>
        <v>2839.1277086088762</v>
      </c>
      <c r="AP208" s="4">
        <f t="shared" si="243"/>
        <v>10548.517686477555</v>
      </c>
      <c r="AQ208" s="4">
        <f t="shared" si="244"/>
        <v>1.5048184517778319E-3</v>
      </c>
      <c r="AR208" s="4">
        <f t="shared" si="245"/>
        <v>-3.5692693433481366E-2</v>
      </c>
      <c r="AS208" s="4">
        <f t="shared" si="246"/>
        <v>1.3915745313967148E-3</v>
      </c>
      <c r="AT208" s="4">
        <f t="shared" si="247"/>
        <v>0.4175473925302195</v>
      </c>
      <c r="AU208" s="4">
        <f t="shared" si="248"/>
        <v>0.1353596369274595</v>
      </c>
      <c r="AV208" s="4">
        <f t="shared" si="249"/>
        <v>-1.623373478653198E-3</v>
      </c>
      <c r="AW208" s="4">
        <f t="shared" si="250"/>
        <v>-1.9501820062241695</v>
      </c>
      <c r="AX208" s="4">
        <f t="shared" si="251"/>
        <v>-1.1421196132864699</v>
      </c>
      <c r="AY208" s="4">
        <f t="shared" si="252"/>
        <v>2.5814964181029416</v>
      </c>
      <c r="AZ208" s="4">
        <f t="shared" si="253"/>
        <v>18.362561022790015</v>
      </c>
      <c r="BA208" s="4">
        <f t="shared" si="254"/>
        <v>-3.6729608841485822E-2</v>
      </c>
      <c r="BB208" s="4">
        <f t="shared" si="255"/>
        <v>-1.760002517641903</v>
      </c>
      <c r="BC208" s="4">
        <f t="shared" si="256"/>
        <v>-0.96850352640259363</v>
      </c>
      <c r="BD208" s="4">
        <f t="shared" si="257"/>
        <v>5.6535266014467993</v>
      </c>
      <c r="BE208" s="4">
        <f t="shared" si="258"/>
        <v>15.745688932755797</v>
      </c>
      <c r="BF208" s="4">
        <f t="shared" si="259"/>
        <v>-10.962339619619103</v>
      </c>
      <c r="BG208" s="4">
        <f t="shared" si="260"/>
        <v>-1.7607032952701662</v>
      </c>
      <c r="BH208" s="4">
        <f t="shared" si="261"/>
        <v>-29.350601734752786</v>
      </c>
      <c r="BI208" s="4">
        <f t="shared" si="262"/>
        <v>-3.7310248289794359</v>
      </c>
      <c r="BJ208" s="4">
        <f t="shared" si="263"/>
        <v>-97.015083929633491</v>
      </c>
      <c r="BK208" s="4">
        <f t="shared" si="264"/>
        <v>3.2960056011599147E-2</v>
      </c>
      <c r="BL208" s="4">
        <f t="shared" si="265"/>
        <v>1.9226100516497215</v>
      </c>
      <c r="BM208" s="4">
        <f t="shared" si="266"/>
        <v>4.3879248037514911</v>
      </c>
      <c r="BN208" s="4">
        <f t="shared" si="267"/>
        <v>-4.1337523539481831</v>
      </c>
      <c r="BO208" s="4">
        <f t="shared" si="268"/>
        <v>-41.939489464544948</v>
      </c>
      <c r="BP208" s="4">
        <f t="shared" si="269"/>
        <v>-26.748292689299895</v>
      </c>
      <c r="BQ208" s="4">
        <f t="shared" si="270"/>
        <v>-4.9728717170588279</v>
      </c>
      <c r="BR208" s="4">
        <f t="shared" si="271"/>
        <v>27.876078420150762</v>
      </c>
      <c r="BS208" s="4">
        <f t="shared" si="272"/>
        <v>238.77818109492137</v>
      </c>
      <c r="BT208" s="4">
        <f t="shared" si="273"/>
        <v>985.13979114725771</v>
      </c>
      <c r="BU208" s="4">
        <f t="shared" si="274"/>
        <v>1.7767169639884501</v>
      </c>
      <c r="BV208" s="4">
        <f t="shared" si="275"/>
        <v>28.467962490747116</v>
      </c>
      <c r="BW208" s="4">
        <f t="shared" si="276"/>
        <v>-151.04124882688194</v>
      </c>
      <c r="BX208" s="4">
        <f t="shared" si="277"/>
        <v>-864.89177176945725</v>
      </c>
      <c r="BY208" s="4">
        <f t="shared" si="278"/>
        <v>-2573.1402749190056</v>
      </c>
      <c r="BZ208" s="6">
        <f t="shared" si="279"/>
        <v>-2.3213031326590681</v>
      </c>
      <c r="CA208" s="7"/>
      <c r="CB208" s="6">
        <v>-2.321299267269751</v>
      </c>
      <c r="CC208" s="6"/>
    </row>
    <row r="209" spans="1:81" x14ac:dyDescent="0.3">
      <c r="A209" s="4">
        <v>207</v>
      </c>
      <c r="B209" s="4">
        <v>72545295</v>
      </c>
      <c r="C209" s="4">
        <v>1.99</v>
      </c>
      <c r="D209" s="4">
        <v>2.6389999999999998</v>
      </c>
      <c r="E209" s="4">
        <v>0.44700000000000001</v>
      </c>
      <c r="F209" s="4">
        <v>3.3690000000000002</v>
      </c>
      <c r="H209" s="6">
        <v>-2618.81325553337</v>
      </c>
      <c r="I209" s="4">
        <f t="shared" si="210"/>
        <v>92.361476179000007</v>
      </c>
      <c r="J209" s="4">
        <f t="shared" si="211"/>
        <v>-1298.726480779</v>
      </c>
      <c r="K209" s="4">
        <f t="shared" si="212"/>
        <v>1058.8654902000001</v>
      </c>
      <c r="L209" s="4">
        <f t="shared" si="213"/>
        <v>10886.94411828</v>
      </c>
      <c r="M209" s="4">
        <f t="shared" si="214"/>
        <v>15.301275233282002</v>
      </c>
      <c r="N209" s="4">
        <f t="shared" si="215"/>
        <v>13.285067505864697</v>
      </c>
      <c r="O209" s="4">
        <f t="shared" si="216"/>
        <v>-61.226445969239997</v>
      </c>
      <c r="P209" s="4">
        <f t="shared" si="217"/>
        <v>-257.05986538448997</v>
      </c>
      <c r="Q209" s="4">
        <f t="shared" si="218"/>
        <v>-83.578520337357489</v>
      </c>
      <c r="R209" s="4">
        <f t="shared" si="219"/>
        <v>213.46236041293798</v>
      </c>
      <c r="S209" s="4">
        <f t="shared" si="220"/>
        <v>3761.7324981842971</v>
      </c>
      <c r="T209" s="4">
        <f t="shared" si="221"/>
        <v>-82.934866691334008</v>
      </c>
      <c r="U209" s="4">
        <f t="shared" si="222"/>
        <v>-3096.2418639873308</v>
      </c>
      <c r="V209" s="4">
        <f t="shared" si="223"/>
        <v>-16874.258253329703</v>
      </c>
      <c r="W209" s="4">
        <f t="shared" si="224"/>
        <v>-0.28517503899802504</v>
      </c>
      <c r="X209" s="4">
        <f t="shared" si="225"/>
        <v>1.386685601308471</v>
      </c>
      <c r="Y209" s="4">
        <f t="shared" si="226"/>
        <v>1.0528716506339566</v>
      </c>
      <c r="Z209" s="4">
        <f t="shared" si="227"/>
        <v>-34.990577636577193</v>
      </c>
      <c r="AA209" s="4">
        <f t="shared" si="228"/>
        <v>3.2199713817800788</v>
      </c>
      <c r="AB209" s="4">
        <f t="shared" si="229"/>
        <v>-25.295829631675783</v>
      </c>
      <c r="AC209" s="4">
        <f t="shared" si="230"/>
        <v>0.61405745990418203</v>
      </c>
      <c r="AD209" s="4">
        <f t="shared" si="231"/>
        <v>32.623963783873727</v>
      </c>
      <c r="AE209" s="4">
        <f t="shared" si="232"/>
        <v>59.661777245457237</v>
      </c>
      <c r="AF209" s="4">
        <f t="shared" si="233"/>
        <v>269.81431649358268</v>
      </c>
      <c r="AG209" s="4">
        <f t="shared" si="234"/>
        <v>-7.9565106124178504</v>
      </c>
      <c r="AH209" s="4">
        <f t="shared" si="235"/>
        <v>49.190278517231718</v>
      </c>
      <c r="AI209" s="4">
        <f t="shared" si="236"/>
        <v>113.09668196834784</v>
      </c>
      <c r="AJ209" s="4">
        <f t="shared" si="237"/>
        <v>-7.7522675281302877</v>
      </c>
      <c r="AK209" s="4">
        <f t="shared" si="238"/>
        <v>-493.43468061052289</v>
      </c>
      <c r="AL209" s="4">
        <f t="shared" si="239"/>
        <v>-3492.8823366118709</v>
      </c>
      <c r="AM209" s="4">
        <f t="shared" si="240"/>
        <v>-26.885415291986124</v>
      </c>
      <c r="AN209" s="4">
        <f t="shared" si="241"/>
        <v>217.68129730031492</v>
      </c>
      <c r="AO209" s="4">
        <f t="shared" si="242"/>
        <v>3032.8735634574514</v>
      </c>
      <c r="AP209" s="4">
        <f t="shared" si="243"/>
        <v>11451.638253885867</v>
      </c>
      <c r="AQ209" s="4">
        <f t="shared" si="244"/>
        <v>1.1573392336496505E-3</v>
      </c>
      <c r="AR209" s="4">
        <f t="shared" si="245"/>
        <v>-2.8503047383590243E-2</v>
      </c>
      <c r="AS209" s="4">
        <f t="shared" si="246"/>
        <v>1.1557772762396058E-3</v>
      </c>
      <c r="AT209" s="4">
        <f t="shared" si="247"/>
        <v>0.35243600020768207</v>
      </c>
      <c r="AU209" s="4">
        <f t="shared" si="248"/>
        <v>0.11223713148796108</v>
      </c>
      <c r="AV209" s="4">
        <f t="shared" si="249"/>
        <v>-1.399979032413464E-3</v>
      </c>
      <c r="AW209" s="4">
        <f t="shared" si="250"/>
        <v>-1.7091691199726387</v>
      </c>
      <c r="AX209" s="4">
        <f t="shared" si="251"/>
        <v>-1.0244019139685141</v>
      </c>
      <c r="AY209" s="4">
        <f t="shared" si="252"/>
        <v>2.3530823503810465</v>
      </c>
      <c r="AZ209" s="4">
        <f t="shared" si="253"/>
        <v>17.01005271817391</v>
      </c>
      <c r="BA209" s="4">
        <f t="shared" si="254"/>
        <v>-3.162271004860287E-2</v>
      </c>
      <c r="BB209" s="4">
        <f t="shared" si="255"/>
        <v>-1.5759839078686295</v>
      </c>
      <c r="BC209" s="4">
        <f t="shared" si="256"/>
        <v>-0.88134613418830221</v>
      </c>
      <c r="BD209" s="4">
        <f t="shared" si="257"/>
        <v>5.2651850134673825</v>
      </c>
      <c r="BE209" s="4">
        <f t="shared" si="258"/>
        <v>14.90262151911559</v>
      </c>
      <c r="BF209" s="4">
        <f t="shared" si="259"/>
        <v>-10.544137606381092</v>
      </c>
      <c r="BG209" s="4">
        <f t="shared" si="260"/>
        <v>-1.7054385688391387</v>
      </c>
      <c r="BH209" s="4">
        <f t="shared" si="261"/>
        <v>-28.891741517310916</v>
      </c>
      <c r="BI209" s="4">
        <f t="shared" si="262"/>
        <v>-3.7324298881312723</v>
      </c>
      <c r="BJ209" s="4">
        <f t="shared" si="263"/>
        <v>-98.630126694802684</v>
      </c>
      <c r="BK209" s="4">
        <f t="shared" si="264"/>
        <v>2.9464978507206471E-2</v>
      </c>
      <c r="BL209" s="4">
        <f t="shared" si="265"/>
        <v>1.7875784194626014</v>
      </c>
      <c r="BM209" s="4">
        <f t="shared" si="266"/>
        <v>4.1461010139088552</v>
      </c>
      <c r="BN209" s="4">
        <f t="shared" si="267"/>
        <v>-3.9973673104771548</v>
      </c>
      <c r="BO209" s="4">
        <f t="shared" si="268"/>
        <v>-41.21540281652748</v>
      </c>
      <c r="BP209" s="4">
        <f t="shared" si="269"/>
        <v>-26.714022292140388</v>
      </c>
      <c r="BQ209" s="4">
        <f t="shared" si="270"/>
        <v>-5.0014112230970191</v>
      </c>
      <c r="BR209" s="4">
        <f t="shared" si="271"/>
        <v>28.49205629789039</v>
      </c>
      <c r="BS209" s="4">
        <f t="shared" si="272"/>
        <v>248.02391804508002</v>
      </c>
      <c r="BT209" s="4">
        <f t="shared" si="273"/>
        <v>1039.9287700628893</v>
      </c>
      <c r="BU209" s="4">
        <f t="shared" si="274"/>
        <v>1.8584858725441242</v>
      </c>
      <c r="BV209" s="4">
        <f t="shared" si="275"/>
        <v>30.262458579406573</v>
      </c>
      <c r="BW209" s="4">
        <f t="shared" si="276"/>
        <v>-163.17371407273853</v>
      </c>
      <c r="BX209" s="4">
        <f t="shared" si="277"/>
        <v>-949.56173313586896</v>
      </c>
      <c r="BY209" s="4">
        <f t="shared" si="278"/>
        <v>-2870.9901959150598</v>
      </c>
      <c r="BZ209" s="6">
        <f t="shared" si="279"/>
        <v>-2.39972696767245</v>
      </c>
      <c r="CA209" s="7"/>
      <c r="CB209" s="6">
        <v>-2.3997229830683859</v>
      </c>
      <c r="CC209" s="6"/>
    </row>
    <row r="210" spans="1:81" x14ac:dyDescent="0.3">
      <c r="A210" s="4">
        <v>208</v>
      </c>
      <c r="B210" s="4">
        <v>72545293</v>
      </c>
      <c r="C210" s="4">
        <v>1.7849999999999999</v>
      </c>
      <c r="D210" s="4">
        <v>2.0920000000000001</v>
      </c>
      <c r="E210" s="4">
        <v>0.39200000000000002</v>
      </c>
      <c r="F210" s="4">
        <v>2.8250000000000002</v>
      </c>
      <c r="H210" s="6">
        <v>-2618.81325553337</v>
      </c>
      <c r="I210" s="4">
        <f t="shared" si="210"/>
        <v>82.846851748500001</v>
      </c>
      <c r="J210" s="4">
        <f t="shared" si="211"/>
        <v>-1029.5323220120001</v>
      </c>
      <c r="K210" s="4">
        <f t="shared" si="212"/>
        <v>928.58002720000002</v>
      </c>
      <c r="L210" s="4">
        <f t="shared" si="213"/>
        <v>9129.0047890000005</v>
      </c>
      <c r="M210" s="4">
        <f t="shared" si="214"/>
        <v>12.3111299412045</v>
      </c>
      <c r="N210" s="4">
        <f t="shared" si="215"/>
        <v>9.4465058870994003</v>
      </c>
      <c r="O210" s="4">
        <f t="shared" si="216"/>
        <v>-48.161803169759999</v>
      </c>
      <c r="P210" s="4">
        <f t="shared" si="217"/>
        <v>-193.346743167375</v>
      </c>
      <c r="Q210" s="4">
        <f t="shared" si="218"/>
        <v>-52.521758464280005</v>
      </c>
      <c r="R210" s="4">
        <f t="shared" si="219"/>
        <v>148.39598174150402</v>
      </c>
      <c r="S210" s="4">
        <f t="shared" si="220"/>
        <v>2500.5044985333002</v>
      </c>
      <c r="T210" s="4">
        <f t="shared" si="221"/>
        <v>-63.781428040064007</v>
      </c>
      <c r="U210" s="4">
        <f t="shared" si="222"/>
        <v>-2276.8313542940004</v>
      </c>
      <c r="V210" s="4">
        <f t="shared" si="223"/>
        <v>-11864.7768320625</v>
      </c>
      <c r="W210" s="4">
        <f t="shared" si="224"/>
        <v>-0.20581022228858437</v>
      </c>
      <c r="X210" s="4">
        <f t="shared" si="225"/>
        <v>0.88444449702769234</v>
      </c>
      <c r="Y210" s="4">
        <f t="shared" si="226"/>
        <v>0.74288957531247901</v>
      </c>
      <c r="Z210" s="4">
        <f t="shared" si="227"/>
        <v>-23.606893528083731</v>
      </c>
      <c r="AA210" s="4">
        <f t="shared" si="228"/>
        <v>1.8150213409176963</v>
      </c>
      <c r="AB210" s="4">
        <f t="shared" si="229"/>
        <v>-15.773748262085521</v>
      </c>
      <c r="AC210" s="4">
        <f t="shared" si="230"/>
        <v>0.36612879559257122</v>
      </c>
      <c r="AD210" s="4">
        <f t="shared" si="231"/>
        <v>22.50499693546541</v>
      </c>
      <c r="AE210" s="4">
        <f t="shared" si="232"/>
        <v>39.352951958474705</v>
      </c>
      <c r="AF210" s="4">
        <f t="shared" si="233"/>
        <v>170.17079047248657</v>
      </c>
      <c r="AG210" s="4">
        <f t="shared" si="234"/>
        <v>-3.9635972306886162</v>
      </c>
      <c r="AH210" s="4">
        <f t="shared" si="235"/>
        <v>27.108307626782956</v>
      </c>
      <c r="AI210" s="4">
        <f t="shared" si="236"/>
        <v>59.595282787536028</v>
      </c>
      <c r="AJ210" s="4">
        <f t="shared" si="237"/>
        <v>-4.7261568354617349</v>
      </c>
      <c r="AK210" s="4">
        <f t="shared" si="238"/>
        <v>-287.63911592816959</v>
      </c>
      <c r="AL210" s="4">
        <f t="shared" si="239"/>
        <v>-1946.8887173621101</v>
      </c>
      <c r="AM210" s="4">
        <f t="shared" si="240"/>
        <v>-18.132278501894145</v>
      </c>
      <c r="AN210" s="4">
        <f t="shared" si="241"/>
        <v>140.37689951027681</v>
      </c>
      <c r="AO210" s="4">
        <f t="shared" si="242"/>
        <v>1870.1124942400604</v>
      </c>
      <c r="AP210" s="4">
        <f t="shared" si="243"/>
        <v>6751.805828342126</v>
      </c>
      <c r="AQ210" s="4">
        <f t="shared" si="244"/>
        <v>7.4920600913972357E-4</v>
      </c>
      <c r="AR210" s="4">
        <f t="shared" si="245"/>
        <v>-1.6306810220016843E-2</v>
      </c>
      <c r="AS210" s="4">
        <f t="shared" si="246"/>
        <v>7.3148955224961018E-4</v>
      </c>
      <c r="AT210" s="4">
        <f t="shared" si="247"/>
        <v>0.21328147575405829</v>
      </c>
      <c r="AU210" s="4">
        <f t="shared" si="248"/>
        <v>5.6748113236293557E-2</v>
      </c>
      <c r="AV210" s="4">
        <f t="shared" si="249"/>
        <v>-7.8305569638059875E-4</v>
      </c>
      <c r="AW210" s="4">
        <f t="shared" si="250"/>
        <v>-0.91410283722899155</v>
      </c>
      <c r="AX210" s="4">
        <f t="shared" si="251"/>
        <v>-0.63386643763165362</v>
      </c>
      <c r="AY210" s="4">
        <f t="shared" si="252"/>
        <v>1.3922056742827671</v>
      </c>
      <c r="AZ210" s="4">
        <f t="shared" si="253"/>
        <v>9.6230076273184135</v>
      </c>
      <c r="BA210" s="4">
        <f t="shared" si="254"/>
        <v>-1.4130290808832862E-2</v>
      </c>
      <c r="BB210" s="4">
        <f t="shared" si="255"/>
        <v>-0.77904051901463434</v>
      </c>
      <c r="BC210" s="4">
        <f t="shared" si="256"/>
        <v>-0.41657544707889238</v>
      </c>
      <c r="BD210" s="4">
        <f t="shared" si="257"/>
        <v>2.8792419300259282</v>
      </c>
      <c r="BE210" s="4">
        <f t="shared" si="258"/>
        <v>7.7923076540501492</v>
      </c>
      <c r="BF210" s="4">
        <f t="shared" si="259"/>
        <v>-5.2717326988762494</v>
      </c>
      <c r="BG210" s="4">
        <f t="shared" si="260"/>
        <v>-1.0317081377577952</v>
      </c>
      <c r="BH210" s="4">
        <f t="shared" si="261"/>
        <v>-16.712191126260908</v>
      </c>
      <c r="BI210" s="4">
        <f t="shared" si="262"/>
        <v>-2.0643827846782723</v>
      </c>
      <c r="BJ210" s="4">
        <f t="shared" si="263"/>
        <v>-52.161138086769675</v>
      </c>
      <c r="BK210" s="4">
        <f t="shared" si="264"/>
        <v>1.1635774298090869E-2</v>
      </c>
      <c r="BL210" s="4">
        <f t="shared" si="265"/>
        <v>0.78092714079686998</v>
      </c>
      <c r="BM210" s="4">
        <f t="shared" si="266"/>
        <v>1.7319054942308845</v>
      </c>
      <c r="BN210" s="4">
        <f t="shared" si="267"/>
        <v>-1.931860329128765</v>
      </c>
      <c r="BO210" s="4">
        <f t="shared" si="268"/>
        <v>-19.045839218180415</v>
      </c>
      <c r="BP210" s="4">
        <f t="shared" si="269"/>
        <v>-11.803715853505723</v>
      </c>
      <c r="BQ210" s="4">
        <f t="shared" si="270"/>
        <v>-2.6739327838714861</v>
      </c>
      <c r="BR210" s="4">
        <f t="shared" si="271"/>
        <v>14.565339526214341</v>
      </c>
      <c r="BS210" s="4">
        <f t="shared" si="272"/>
        <v>121.23535262785853</v>
      </c>
      <c r="BT210" s="4">
        <f t="shared" si="273"/>
        <v>486.04693274355952</v>
      </c>
      <c r="BU210" s="4">
        <f t="shared" si="274"/>
        <v>1.0991916982257945</v>
      </c>
      <c r="BV210" s="4">
        <f t="shared" si="275"/>
        <v>17.114226715140358</v>
      </c>
      <c r="BW210" s="4">
        <f t="shared" si="276"/>
        <v>-88.235259837751286</v>
      </c>
      <c r="BX210" s="4">
        <f t="shared" si="277"/>
        <v>-490.9690004713687</v>
      </c>
      <c r="BY210" s="4">
        <f t="shared" si="278"/>
        <v>-1419.3891272285423</v>
      </c>
      <c r="BZ210" s="6">
        <f t="shared" si="279"/>
        <v>-2.2969035442793029</v>
      </c>
      <c r="CA210" s="7"/>
      <c r="CB210" s="6">
        <v>-2.2968997898424282</v>
      </c>
      <c r="CC210" s="6"/>
    </row>
    <row r="211" spans="1:81" x14ac:dyDescent="0.3">
      <c r="A211" s="4">
        <v>209</v>
      </c>
      <c r="B211" s="4">
        <v>72545298</v>
      </c>
      <c r="C211" s="4">
        <v>2.3119999999999998</v>
      </c>
      <c r="D211" s="4">
        <v>3.18</v>
      </c>
      <c r="E211" s="4">
        <v>0.45</v>
      </c>
      <c r="F211" s="4">
        <v>3.282</v>
      </c>
      <c r="H211" s="6">
        <v>-2618.81325553337</v>
      </c>
      <c r="I211" s="4">
        <f t="shared" si="210"/>
        <v>107.3063984552</v>
      </c>
      <c r="J211" s="4">
        <f t="shared" si="211"/>
        <v>-1564.9678699800002</v>
      </c>
      <c r="K211" s="4">
        <f t="shared" si="212"/>
        <v>1065.9719700000001</v>
      </c>
      <c r="L211" s="4">
        <f t="shared" si="213"/>
        <v>10605.80308584</v>
      </c>
      <c r="M211" s="4">
        <f t="shared" si="214"/>
        <v>20.653665251022076</v>
      </c>
      <c r="N211" s="4">
        <f t="shared" si="215"/>
        <v>18.598856715163198</v>
      </c>
      <c r="O211" s="4">
        <f t="shared" si="216"/>
        <v>-71.610844363199988</v>
      </c>
      <c r="P211" s="4">
        <f t="shared" si="217"/>
        <v>-290.94211717233594</v>
      </c>
      <c r="Q211" s="4">
        <f t="shared" si="218"/>
        <v>-121.35848262300001</v>
      </c>
      <c r="R211" s="4">
        <f t="shared" si="219"/>
        <v>258.94887456599997</v>
      </c>
      <c r="S211" s="4">
        <f t="shared" si="220"/>
        <v>4415.8387333309211</v>
      </c>
      <c r="T211" s="4">
        <f t="shared" si="221"/>
        <v>-84.051822014999999</v>
      </c>
      <c r="U211" s="4">
        <f t="shared" si="222"/>
        <v>-3036.5290113390001</v>
      </c>
      <c r="V211" s="4">
        <f t="shared" si="223"/>
        <v>-16013.999956294798</v>
      </c>
      <c r="W211" s="4">
        <f t="shared" si="224"/>
        <v>-0.44721439025345272</v>
      </c>
      <c r="X211" s="4">
        <f t="shared" si="225"/>
        <v>2.2554605874072458</v>
      </c>
      <c r="Y211" s="4">
        <f t="shared" si="226"/>
        <v>1.4307044549124959</v>
      </c>
      <c r="Z211" s="4">
        <f t="shared" si="227"/>
        <v>-46.010630483299757</v>
      </c>
      <c r="AA211" s="4">
        <f t="shared" si="228"/>
        <v>5.4320308116408285</v>
      </c>
      <c r="AB211" s="4">
        <f t="shared" si="229"/>
        <v>-35.651384604755997</v>
      </c>
      <c r="AC211" s="4">
        <f t="shared" si="230"/>
        <v>0.83746961819782051</v>
      </c>
      <c r="AD211" s="4">
        <f t="shared" si="231"/>
        <v>38.413286106156001</v>
      </c>
      <c r="AE211" s="4">
        <f t="shared" si="232"/>
        <v>67.978800327288255</v>
      </c>
      <c r="AF211" s="4">
        <f t="shared" si="233"/>
        <v>297.4917145313413</v>
      </c>
      <c r="AG211" s="4">
        <f t="shared" si="234"/>
        <v>-13.921493715325155</v>
      </c>
      <c r="AH211" s="4">
        <f t="shared" si="235"/>
        <v>71.905106147364009</v>
      </c>
      <c r="AI211" s="4">
        <f t="shared" si="236"/>
        <v>159.97896731746692</v>
      </c>
      <c r="AJ211" s="4">
        <f t="shared" si="237"/>
        <v>-9.4673070507600006</v>
      </c>
      <c r="AK211" s="4">
        <f t="shared" si="238"/>
        <v>-583.12271107850404</v>
      </c>
      <c r="AL211" s="4">
        <f t="shared" si="239"/>
        <v>-3994.3564426199318</v>
      </c>
      <c r="AM211" s="4">
        <f t="shared" si="240"/>
        <v>-27.430373506500001</v>
      </c>
      <c r="AN211" s="4">
        <f t="shared" si="241"/>
        <v>214.91595799645498</v>
      </c>
      <c r="AO211" s="4">
        <f t="shared" si="242"/>
        <v>2897.5732766323417</v>
      </c>
      <c r="AP211" s="4">
        <f t="shared" si="243"/>
        <v>10587.180510700213</v>
      </c>
      <c r="AQ211" s="4">
        <f t="shared" si="244"/>
        <v>2.1086266411712304E-3</v>
      </c>
      <c r="AR211" s="4">
        <f t="shared" si="245"/>
        <v>-5.3862100333577793E-2</v>
      </c>
      <c r="AS211" s="4">
        <f t="shared" si="246"/>
        <v>1.8246660946268371E-3</v>
      </c>
      <c r="AT211" s="4">
        <f t="shared" si="247"/>
        <v>0.53842112303513756</v>
      </c>
      <c r="AU211" s="4">
        <f t="shared" si="248"/>
        <v>0.21997915265586704</v>
      </c>
      <c r="AV211" s="4">
        <f t="shared" si="249"/>
        <v>-2.2923649438218391E-3</v>
      </c>
      <c r="AW211" s="4">
        <f t="shared" si="250"/>
        <v>-2.7081944259123212</v>
      </c>
      <c r="AX211" s="4">
        <f t="shared" si="251"/>
        <v>-1.4013604911898365</v>
      </c>
      <c r="AY211" s="4">
        <f t="shared" si="252"/>
        <v>3.1149364405441236</v>
      </c>
      <c r="AZ211" s="4">
        <f t="shared" si="253"/>
        <v>21.789652176127802</v>
      </c>
      <c r="BA211" s="4">
        <f t="shared" si="254"/>
        <v>-6.4283132049414285E-2</v>
      </c>
      <c r="BB211" s="4">
        <f t="shared" si="255"/>
        <v>-2.6764983634688329</v>
      </c>
      <c r="BC211" s="4">
        <f t="shared" si="256"/>
        <v>-1.4484192313816682</v>
      </c>
      <c r="BD211" s="4">
        <f t="shared" si="257"/>
        <v>7.4704386044370974</v>
      </c>
      <c r="BE211" s="4">
        <f t="shared" si="258"/>
        <v>20.461040326836596</v>
      </c>
      <c r="BF211" s="4">
        <f t="shared" si="259"/>
        <v>-14.00904981572371</v>
      </c>
      <c r="BG211" s="4">
        <f t="shared" si="260"/>
        <v>-2.0215561362410699</v>
      </c>
      <c r="BH211" s="4">
        <f t="shared" si="261"/>
        <v>-33.140268377248823</v>
      </c>
      <c r="BI211" s="4">
        <f t="shared" si="262"/>
        <v>-4.1429198739669602</v>
      </c>
      <c r="BJ211" s="4">
        <f t="shared" si="263"/>
        <v>-105.93928598790806</v>
      </c>
      <c r="BK211" s="4">
        <f t="shared" si="264"/>
        <v>6.212366193644614E-2</v>
      </c>
      <c r="BL211" s="4">
        <f t="shared" si="265"/>
        <v>3.1487144915278122</v>
      </c>
      <c r="BM211" s="4">
        <f t="shared" si="266"/>
        <v>7.0670901913872815</v>
      </c>
      <c r="BN211" s="4">
        <f t="shared" si="267"/>
        <v>-5.8824669714591611</v>
      </c>
      <c r="BO211" s="4">
        <f t="shared" si="268"/>
        <v>-58.691818339745531</v>
      </c>
      <c r="BP211" s="4">
        <f t="shared" si="269"/>
        <v>-36.812039134150908</v>
      </c>
      <c r="BQ211" s="4">
        <f t="shared" si="270"/>
        <v>-6.1488693596227506</v>
      </c>
      <c r="BR211" s="4">
        <f t="shared" si="271"/>
        <v>33.896828852924223</v>
      </c>
      <c r="BS211" s="4">
        <f t="shared" si="272"/>
        <v>285.53635790123082</v>
      </c>
      <c r="BT211" s="4">
        <f t="shared" si="273"/>
        <v>1158.5212929560462</v>
      </c>
      <c r="BU211" s="4">
        <f t="shared" si="274"/>
        <v>1.9088826326550004</v>
      </c>
      <c r="BV211" s="4">
        <f t="shared" si="275"/>
        <v>30.078539566245002</v>
      </c>
      <c r="BW211" s="4">
        <f t="shared" si="276"/>
        <v>-156.9406010681669</v>
      </c>
      <c r="BX211" s="4">
        <f t="shared" si="277"/>
        <v>-883.77333155260214</v>
      </c>
      <c r="BY211" s="4">
        <f t="shared" si="278"/>
        <v>-2585.722844502056</v>
      </c>
      <c r="BZ211" s="6">
        <f t="shared" si="279"/>
        <v>-1.9277772387899859</v>
      </c>
      <c r="CA211" s="7"/>
      <c r="CB211" s="6">
        <v>-1.9277739076214859</v>
      </c>
      <c r="CC211" s="6"/>
    </row>
    <row r="212" spans="1:81" x14ac:dyDescent="0.3">
      <c r="A212" s="4">
        <v>210</v>
      </c>
      <c r="B212" s="4">
        <v>72545059</v>
      </c>
      <c r="C212" s="4">
        <v>1.915</v>
      </c>
      <c r="D212" s="4">
        <v>2.327</v>
      </c>
      <c r="E212" s="4">
        <v>0.41699999999999998</v>
      </c>
      <c r="F212" s="4">
        <v>3.0859999999999999</v>
      </c>
      <c r="H212" s="6">
        <v>-2618.81325553337</v>
      </c>
      <c r="I212" s="4">
        <f t="shared" si="210"/>
        <v>88.8805160215</v>
      </c>
      <c r="J212" s="4">
        <f t="shared" si="211"/>
        <v>-1145.1824633470001</v>
      </c>
      <c r="K212" s="4">
        <f t="shared" si="212"/>
        <v>987.80069219999996</v>
      </c>
      <c r="L212" s="4">
        <f t="shared" si="213"/>
        <v>9972.4278863199997</v>
      </c>
      <c r="M212" s="4">
        <f t="shared" si="214"/>
        <v>14.169646995624502</v>
      </c>
      <c r="N212" s="4">
        <f t="shared" si="215"/>
        <v>11.272920922340349</v>
      </c>
      <c r="O212" s="4">
        <f t="shared" si="216"/>
        <v>-54.964626893939993</v>
      </c>
      <c r="P212" s="4">
        <f t="shared" si="217"/>
        <v>-226.59216472150999</v>
      </c>
      <c r="Q212" s="4">
        <f t="shared" si="218"/>
        <v>-64.984332794517499</v>
      </c>
      <c r="R212" s="4">
        <f t="shared" si="219"/>
        <v>175.59285183437399</v>
      </c>
      <c r="S212" s="4">
        <f t="shared" si="220"/>
        <v>3038.3640781597737</v>
      </c>
      <c r="T212" s="4">
        <f t="shared" si="221"/>
        <v>-72.176233473413987</v>
      </c>
      <c r="U212" s="4">
        <f t="shared" si="222"/>
        <v>-2645.8079738572201</v>
      </c>
      <c r="V212" s="4">
        <f t="shared" si="223"/>
        <v>-14158.4109293892</v>
      </c>
      <c r="W212" s="4">
        <f t="shared" si="224"/>
        <v>-0.25413156754022814</v>
      </c>
      <c r="X212" s="4">
        <f t="shared" si="225"/>
        <v>1.1323127639861112</v>
      </c>
      <c r="Y212" s="4">
        <f t="shared" si="226"/>
        <v>0.90956840833024089</v>
      </c>
      <c r="Z212" s="4">
        <f t="shared" si="227"/>
        <v>-29.68092466132649</v>
      </c>
      <c r="AA212" s="4">
        <f t="shared" si="228"/>
        <v>2.4092490691039674</v>
      </c>
      <c r="AB212" s="4">
        <f t="shared" si="229"/>
        <v>-20.023968546419468</v>
      </c>
      <c r="AC212" s="4">
        <f t="shared" si="230"/>
        <v>0.47728371617365883</v>
      </c>
      <c r="AD212" s="4">
        <f t="shared" si="231"/>
        <v>27.321811575187077</v>
      </c>
      <c r="AE212" s="4">
        <f t="shared" si="232"/>
        <v>49.060879652494357</v>
      </c>
      <c r="AF212" s="4">
        <f t="shared" si="233"/>
        <v>217.85649553165069</v>
      </c>
      <c r="AG212" s="4">
        <f t="shared" si="234"/>
        <v>-5.4549858147484871</v>
      </c>
      <c r="AH212" s="4">
        <f t="shared" si="235"/>
        <v>35.679749738958172</v>
      </c>
      <c r="AI212" s="4">
        <f t="shared" si="236"/>
        <v>80.548741740964047</v>
      </c>
      <c r="AJ212" s="4">
        <f t="shared" si="237"/>
        <v>-5.9489841031591455</v>
      </c>
      <c r="AK212" s="4">
        <f t="shared" si="238"/>
        <v>-371.80061677017443</v>
      </c>
      <c r="AL212" s="4">
        <f t="shared" si="239"/>
        <v>-2584.2276596199158</v>
      </c>
      <c r="AM212" s="4">
        <f t="shared" si="240"/>
        <v>-21.827416967749041</v>
      </c>
      <c r="AN212" s="4">
        <f t="shared" si="241"/>
        <v>173.52941050377379</v>
      </c>
      <c r="AO212" s="4">
        <f t="shared" si="242"/>
        <v>2373.9559648704862</v>
      </c>
      <c r="AP212" s="4">
        <f t="shared" si="243"/>
        <v>8801.4120360763554</v>
      </c>
      <c r="AQ212" s="4">
        <f t="shared" si="244"/>
        <v>9.9248392988989052E-4</v>
      </c>
      <c r="AR212" s="4">
        <f t="shared" si="245"/>
        <v>-2.239728588756339E-2</v>
      </c>
      <c r="AS212" s="4">
        <f t="shared" si="246"/>
        <v>9.6083715597358678E-4</v>
      </c>
      <c r="AT212" s="4">
        <f t="shared" si="247"/>
        <v>0.28768835319653435</v>
      </c>
      <c r="AU212" s="4">
        <f t="shared" si="248"/>
        <v>8.0813133845321336E-2</v>
      </c>
      <c r="AV212" s="4">
        <f t="shared" si="249"/>
        <v>-1.0664449940242697E-3</v>
      </c>
      <c r="AW212" s="4">
        <f t="shared" si="250"/>
        <v>-1.2784046607412811</v>
      </c>
      <c r="AX212" s="4">
        <f t="shared" si="251"/>
        <v>-0.82557940165192811</v>
      </c>
      <c r="AY212" s="4">
        <f t="shared" si="252"/>
        <v>1.8620527191969092</v>
      </c>
      <c r="AZ212" s="4">
        <f t="shared" si="253"/>
        <v>13.216817245823391</v>
      </c>
      <c r="BA212" s="4">
        <f t="shared" si="254"/>
        <v>-2.0863432787416626E-2</v>
      </c>
      <c r="BB212" s="4">
        <f t="shared" si="255"/>
        <v>-1.1000438529409933</v>
      </c>
      <c r="BC212" s="4">
        <f t="shared" si="256"/>
        <v>-0.60404751594765149</v>
      </c>
      <c r="BD212" s="4">
        <f t="shared" si="257"/>
        <v>3.8881534378764533</v>
      </c>
      <c r="BE212" s="4">
        <f t="shared" si="258"/>
        <v>10.805846883641165</v>
      </c>
      <c r="BF212" s="4">
        <f t="shared" si="259"/>
        <v>-7.5071238627193022</v>
      </c>
      <c r="BG212" s="4">
        <f t="shared" si="260"/>
        <v>-1.3324084486404568</v>
      </c>
      <c r="BH212" s="4">
        <f t="shared" si="261"/>
        <v>-22.163655804894709</v>
      </c>
      <c r="BI212" s="4">
        <f t="shared" si="262"/>
        <v>-2.8114198943691675</v>
      </c>
      <c r="BJ212" s="4">
        <f t="shared" si="263"/>
        <v>-72.947434903406787</v>
      </c>
      <c r="BK212" s="4">
        <f t="shared" si="264"/>
        <v>1.7812878306282479E-2</v>
      </c>
      <c r="BL212" s="4">
        <f t="shared" si="265"/>
        <v>1.1433116110342947</v>
      </c>
      <c r="BM212" s="4">
        <f t="shared" si="266"/>
        <v>2.6037888852700535</v>
      </c>
      <c r="BN212" s="4">
        <f t="shared" si="267"/>
        <v>-2.7048619612010834</v>
      </c>
      <c r="BO212" s="4">
        <f t="shared" si="268"/>
        <v>-27.384005759708</v>
      </c>
      <c r="BP212" s="4">
        <f t="shared" si="269"/>
        <v>-17.427821039836193</v>
      </c>
      <c r="BQ212" s="4">
        <f t="shared" si="270"/>
        <v>-3.5804297159037541</v>
      </c>
      <c r="BR212" s="4">
        <f t="shared" si="271"/>
        <v>20.027777655418493</v>
      </c>
      <c r="BS212" s="4">
        <f t="shared" si="272"/>
        <v>171.18626253090716</v>
      </c>
      <c r="BT212" s="4">
        <f t="shared" si="273"/>
        <v>704.76660750264784</v>
      </c>
      <c r="BU212" s="4">
        <f t="shared" si="274"/>
        <v>1.4075809855149275</v>
      </c>
      <c r="BV212" s="4">
        <f t="shared" si="275"/>
        <v>22.505295219833872</v>
      </c>
      <c r="BW212" s="4">
        <f t="shared" si="276"/>
        <v>-119.15083330055083</v>
      </c>
      <c r="BX212" s="4">
        <f t="shared" si="277"/>
        <v>-680.82652658304585</v>
      </c>
      <c r="BY212" s="4">
        <f t="shared" si="278"/>
        <v>-2021.2096005127403</v>
      </c>
      <c r="BZ212" s="6">
        <f t="shared" si="279"/>
        <v>-2.4453339784943182</v>
      </c>
      <c r="CA212" s="7"/>
      <c r="CB212" s="6">
        <v>-2.445329853818293</v>
      </c>
      <c r="CC212" s="6"/>
    </row>
    <row r="213" spans="1:81" x14ac:dyDescent="0.3">
      <c r="A213" s="4">
        <v>211</v>
      </c>
      <c r="B213" s="4">
        <v>56683011</v>
      </c>
      <c r="C213" s="4">
        <v>4.45</v>
      </c>
      <c r="D213" s="4">
        <v>4.0810000000000004</v>
      </c>
      <c r="E213" s="4">
        <v>0.56499999999999995</v>
      </c>
      <c r="F213" s="4">
        <v>3.5510000000000002</v>
      </c>
      <c r="H213" s="6">
        <v>-2618.81325553337</v>
      </c>
      <c r="I213" s="4">
        <f t="shared" si="210"/>
        <v>206.53696934500002</v>
      </c>
      <c r="J213" s="4">
        <f t="shared" si="211"/>
        <v>-2008.3754331410003</v>
      </c>
      <c r="K213" s="4">
        <f t="shared" si="212"/>
        <v>1338.3870289999998</v>
      </c>
      <c r="L213" s="4">
        <f t="shared" si="213"/>
        <v>11475.07823212</v>
      </c>
      <c r="M213" s="4">
        <f t="shared" si="214"/>
        <v>76.514103888050016</v>
      </c>
      <c r="N213" s="4">
        <f t="shared" si="215"/>
        <v>45.940731354171504</v>
      </c>
      <c r="O213" s="4">
        <f t="shared" si="216"/>
        <v>-173.05609903899997</v>
      </c>
      <c r="P213" s="4">
        <f t="shared" si="217"/>
        <v>-605.88593603405002</v>
      </c>
      <c r="Q213" s="4">
        <f t="shared" si="218"/>
        <v>-199.87067874215757</v>
      </c>
      <c r="R213" s="4">
        <f t="shared" si="219"/>
        <v>417.24336251828993</v>
      </c>
      <c r="S213" s="4">
        <f t="shared" si="220"/>
        <v>6131.472361052578</v>
      </c>
      <c r="T213" s="4">
        <f t="shared" si="221"/>
        <v>-132.50095250734995</v>
      </c>
      <c r="U213" s="4">
        <f t="shared" si="222"/>
        <v>-4125.0143566826509</v>
      </c>
      <c r="V213" s="4">
        <f t="shared" si="223"/>
        <v>-18746.6648046177</v>
      </c>
      <c r="W213" s="4">
        <f t="shared" si="224"/>
        <v>-3.1888369473468754</v>
      </c>
      <c r="X213" s="4">
        <f t="shared" si="225"/>
        <v>10.723068486406627</v>
      </c>
      <c r="Y213" s="4">
        <f t="shared" si="226"/>
        <v>6.6547267250604376</v>
      </c>
      <c r="Z213" s="4">
        <f t="shared" si="227"/>
        <v>-184.42281319573129</v>
      </c>
      <c r="AA213" s="4">
        <f t="shared" si="228"/>
        <v>17.219215270073079</v>
      </c>
      <c r="AB213" s="4">
        <f t="shared" si="229"/>
        <v>-110.56660928766337</v>
      </c>
      <c r="AC213" s="4">
        <f t="shared" si="230"/>
        <v>2.2381686702788715</v>
      </c>
      <c r="AD213" s="4">
        <f t="shared" si="231"/>
        <v>116.55355118695273</v>
      </c>
      <c r="AE213" s="4">
        <f t="shared" si="232"/>
        <v>177.74349145378702</v>
      </c>
      <c r="AF213" s="4">
        <f t="shared" si="233"/>
        <v>670.3031295530435</v>
      </c>
      <c r="AG213" s="4">
        <f t="shared" si="234"/>
        <v>-29.424172640456206</v>
      </c>
      <c r="AH213" s="4">
        <f t="shared" si="235"/>
        <v>148.6875533990509</v>
      </c>
      <c r="AI213" s="4">
        <f t="shared" si="236"/>
        <v>285.07158748450337</v>
      </c>
      <c r="AJ213" s="4">
        <f t="shared" si="237"/>
        <v>-19.153043965635579</v>
      </c>
      <c r="AK213" s="4">
        <f t="shared" si="238"/>
        <v>-1016.5938095556583</v>
      </c>
      <c r="AL213" s="4">
        <f t="shared" si="239"/>
        <v>-6000.8183869458171</v>
      </c>
      <c r="AM213" s="4">
        <f t="shared" si="240"/>
        <v>-54.292460413454478</v>
      </c>
      <c r="AN213" s="4">
        <f t="shared" si="241"/>
        <v>366.56637747417864</v>
      </c>
      <c r="AO213" s="4">
        <f t="shared" si="242"/>
        <v>4258.8716592887768</v>
      </c>
      <c r="AP213" s="4">
        <f t="shared" si="243"/>
        <v>13409.624123282369</v>
      </c>
      <c r="AQ213" s="4">
        <f t="shared" si="244"/>
        <v>2.8939326136479517E-2</v>
      </c>
      <c r="AR213" s="4">
        <f t="shared" si="245"/>
        <v>-0.49287785194486028</v>
      </c>
      <c r="AS213" s="4">
        <f t="shared" si="246"/>
        <v>1.6335629691751157E-2</v>
      </c>
      <c r="AT213" s="4">
        <f t="shared" si="247"/>
        <v>4.153849227073489</v>
      </c>
      <c r="AU213" s="4">
        <f t="shared" si="248"/>
        <v>1.3421616854106864</v>
      </c>
      <c r="AV213" s="4">
        <f t="shared" si="249"/>
        <v>-1.3683699541863607E-2</v>
      </c>
      <c r="AW213" s="4">
        <f t="shared" si="250"/>
        <v>-13.93079087322929</v>
      </c>
      <c r="AX213" s="4">
        <f t="shared" si="251"/>
        <v>-8.1840090271324684</v>
      </c>
      <c r="AY213" s="4">
        <f t="shared" si="252"/>
        <v>15.676228366266066</v>
      </c>
      <c r="AZ213" s="4">
        <f t="shared" si="253"/>
        <v>94.497180644556266</v>
      </c>
      <c r="BA213" s="4">
        <f t="shared" si="254"/>
        <v>-0.26150959867483442</v>
      </c>
      <c r="BB213" s="4">
        <f t="shared" si="255"/>
        <v>-10.652561422789878</v>
      </c>
      <c r="BC213" s="4">
        <f t="shared" si="256"/>
        <v>-4.9677245707227087</v>
      </c>
      <c r="BD213" s="4">
        <f t="shared" si="257"/>
        <v>29.089055815917156</v>
      </c>
      <c r="BE213" s="4">
        <f t="shared" si="258"/>
        <v>68.657406948892401</v>
      </c>
      <c r="BF213" s="4">
        <f t="shared" si="259"/>
        <v>-40.508347491401032</v>
      </c>
      <c r="BG213" s="4">
        <f t="shared" si="260"/>
        <v>-7.7013309904527132</v>
      </c>
      <c r="BH213" s="4">
        <f t="shared" si="261"/>
        <v>-108.79580902383142</v>
      </c>
      <c r="BI213" s="4">
        <f t="shared" si="262"/>
        <v>-11.720303024469013</v>
      </c>
      <c r="BJ213" s="4">
        <f t="shared" si="263"/>
        <v>-258.26497313969185</v>
      </c>
      <c r="BK213" s="4">
        <f t="shared" si="264"/>
        <v>0.16850583604336661</v>
      </c>
      <c r="BL213" s="4">
        <f t="shared" si="265"/>
        <v>8.3557923994112837</v>
      </c>
      <c r="BM213" s="4">
        <f t="shared" si="266"/>
        <v>16.161108792642406</v>
      </c>
      <c r="BN213" s="4">
        <f t="shared" si="267"/>
        <v>-15.272506374400351</v>
      </c>
      <c r="BO213" s="4">
        <f t="shared" si="268"/>
        <v>-131.31203863807556</v>
      </c>
      <c r="BP213" s="4">
        <f t="shared" si="269"/>
        <v>-70.972975931705335</v>
      </c>
      <c r="BQ213" s="4">
        <f t="shared" si="270"/>
        <v>-15.618615837543485</v>
      </c>
      <c r="BR213" s="4">
        <f t="shared" si="271"/>
        <v>74.196344505715885</v>
      </c>
      <c r="BS213" s="4">
        <f t="shared" si="272"/>
        <v>538.59338569635054</v>
      </c>
      <c r="BT213" s="4">
        <f t="shared" si="273"/>
        <v>1883.1277438906784</v>
      </c>
      <c r="BU213" s="4">
        <f t="shared" si="274"/>
        <v>4.7437627756916632</v>
      </c>
      <c r="BV213" s="4">
        <f t="shared" si="275"/>
        <v>64.413462267703295</v>
      </c>
      <c r="BW213" s="4">
        <f t="shared" si="276"/>
        <v>-289.62188168611203</v>
      </c>
      <c r="BX213" s="4">
        <f t="shared" si="277"/>
        <v>-1405.4425997119713</v>
      </c>
      <c r="BY213" s="4">
        <f t="shared" si="278"/>
        <v>-3543.4830094665181</v>
      </c>
      <c r="BZ213" s="6">
        <f t="shared" si="279"/>
        <v>-1.2084922484987146</v>
      </c>
      <c r="CA213" s="7"/>
      <c r="CB213" s="6">
        <v>-1.2084915435780199</v>
      </c>
      <c r="CC213" s="6"/>
    </row>
    <row r="214" spans="1:81" x14ac:dyDescent="0.3">
      <c r="A214" s="4">
        <v>212</v>
      </c>
      <c r="B214" s="4">
        <v>44446337</v>
      </c>
      <c r="C214" s="4">
        <v>11.237</v>
      </c>
      <c r="D214" s="4">
        <v>7.4130000000000003</v>
      </c>
      <c r="E214" s="4">
        <v>0.81299999999999994</v>
      </c>
      <c r="F214" s="4">
        <v>3.03</v>
      </c>
      <c r="H214" s="6">
        <v>-2618.81325553337</v>
      </c>
      <c r="I214" s="4">
        <f t="shared" si="210"/>
        <v>521.54065719770006</v>
      </c>
      <c r="J214" s="4">
        <f t="shared" si="211"/>
        <v>-3648.146798793</v>
      </c>
      <c r="K214" s="4">
        <f t="shared" si="212"/>
        <v>1925.8560257999998</v>
      </c>
      <c r="L214" s="4">
        <f t="shared" si="213"/>
        <v>9791.463543599999</v>
      </c>
      <c r="M214" s="4">
        <f t="shared" si="214"/>
        <v>487.8903587338786</v>
      </c>
      <c r="N214" s="4">
        <f t="shared" si="215"/>
        <v>210.72481435512088</v>
      </c>
      <c r="O214" s="4">
        <f t="shared" si="216"/>
        <v>-628.8099098835479</v>
      </c>
      <c r="P214" s="4">
        <f t="shared" si="217"/>
        <v>-1305.4889426646898</v>
      </c>
      <c r="Q214" s="4">
        <f t="shared" si="218"/>
        <v>-659.4834450848175</v>
      </c>
      <c r="R214" s="4">
        <f t="shared" si="219"/>
        <v>1090.5835428506339</v>
      </c>
      <c r="S214" s="4">
        <f t="shared" si="220"/>
        <v>9503.5121978901298</v>
      </c>
      <c r="T214" s="4">
        <f t="shared" si="221"/>
        <v>-274.34888269349398</v>
      </c>
      <c r="U214" s="4">
        <f t="shared" si="222"/>
        <v>-5064.7675545008997</v>
      </c>
      <c r="V214" s="4">
        <f t="shared" si="223"/>
        <v>-13649.222913929998</v>
      </c>
      <c r="W214" s="4">
        <f t="shared" si="224"/>
        <v>-51.34562243871369</v>
      </c>
      <c r="X214" s="4">
        <f t="shared" si="225"/>
        <v>124.20160980815827</v>
      </c>
      <c r="Y214" s="4">
        <f t="shared" si="226"/>
        <v>61.059474672090161</v>
      </c>
      <c r="Z214" s="4">
        <f t="shared" si="227"/>
        <v>-1003.4305944211146</v>
      </c>
      <c r="AA214" s="4">
        <f t="shared" si="228"/>
        <v>143.46915356633144</v>
      </c>
      <c r="AB214" s="4">
        <f t="shared" si="229"/>
        <v>-729.7664013130302</v>
      </c>
      <c r="AC214" s="4">
        <f t="shared" si="230"/>
        <v>8.7599684831846325</v>
      </c>
      <c r="AD214" s="4">
        <f t="shared" si="231"/>
        <v>609.39666855999212</v>
      </c>
      <c r="AE214" s="4">
        <f t="shared" si="232"/>
        <v>551.08441706284475</v>
      </c>
      <c r="AF214" s="4">
        <f t="shared" si="233"/>
        <v>1232.3825190018874</v>
      </c>
      <c r="AG214" s="4">
        <f t="shared" si="234"/>
        <v>-176.35447163140267</v>
      </c>
      <c r="AH214" s="4">
        <f t="shared" si="235"/>
        <v>705.94606832611998</v>
      </c>
      <c r="AI214" s="4">
        <f t="shared" si="236"/>
        <v>802.60285654892255</v>
      </c>
      <c r="AJ214" s="4">
        <f t="shared" si="237"/>
        <v>-72.035969659154361</v>
      </c>
      <c r="AK214" s="4">
        <f t="shared" si="238"/>
        <v>-2267.2996454245203</v>
      </c>
      <c r="AL214" s="4">
        <f t="shared" si="239"/>
        <v>-7936.3680654542004</v>
      </c>
      <c r="AM214" s="4">
        <f t="shared" si="240"/>
        <v>-161.7580179102888</v>
      </c>
      <c r="AN214" s="4">
        <f t="shared" si="241"/>
        <v>647.63271582083382</v>
      </c>
      <c r="AO214" s="4">
        <f t="shared" si="242"/>
        <v>4461.9075036875483</v>
      </c>
      <c r="AP214" s="4">
        <f t="shared" si="243"/>
        <v>8330.9105839005351</v>
      </c>
      <c r="AQ214" s="4">
        <f t="shared" si="244"/>
        <v>1.176657029588219</v>
      </c>
      <c r="AR214" s="4">
        <f t="shared" si="245"/>
        <v>-14.41576911767004</v>
      </c>
      <c r="AS214" s="4">
        <f t="shared" si="246"/>
        <v>0.37848536168180685</v>
      </c>
      <c r="AT214" s="4">
        <f t="shared" si="247"/>
        <v>57.070778223699335</v>
      </c>
      <c r="AU214" s="4">
        <f t="shared" si="248"/>
        <v>28.238419609460525</v>
      </c>
      <c r="AV214" s="4">
        <f t="shared" si="249"/>
        <v>-0.22806244319676133</v>
      </c>
      <c r="AW214" s="4">
        <f t="shared" si="250"/>
        <v>-137.68159040625704</v>
      </c>
      <c r="AX214" s="4">
        <f t="shared" si="251"/>
        <v>-108.05155841810064</v>
      </c>
      <c r="AY214" s="4">
        <f t="shared" si="252"/>
        <v>122.73159414666792</v>
      </c>
      <c r="AZ214" s="4">
        <f t="shared" si="253"/>
        <v>438.71603041246675</v>
      </c>
      <c r="BA214" s="4">
        <f t="shared" si="254"/>
        <v>-3.9578581058001769</v>
      </c>
      <c r="BB214" s="4">
        <f t="shared" si="255"/>
        <v>-127.71482875051647</v>
      </c>
      <c r="BC214" s="4">
        <f t="shared" si="256"/>
        <v>-35.317881552009062</v>
      </c>
      <c r="BD214" s="4">
        <f t="shared" si="257"/>
        <v>276.26864380442578</v>
      </c>
      <c r="BE214" s="4">
        <f t="shared" si="258"/>
        <v>386.66888509470573</v>
      </c>
      <c r="BF214" s="4">
        <f t="shared" si="259"/>
        <v>-135.28393106423778</v>
      </c>
      <c r="BG214" s="4">
        <f t="shared" si="260"/>
        <v>-57.94052849836865</v>
      </c>
      <c r="BH214" s="4">
        <f t="shared" si="261"/>
        <v>-485.3764351284546</v>
      </c>
      <c r="BI214" s="4">
        <f t="shared" si="262"/>
        <v>-31.006676659699661</v>
      </c>
      <c r="BJ214" s="4">
        <f t="shared" si="263"/>
        <v>-405.16483770926953</v>
      </c>
      <c r="BK214" s="4">
        <f t="shared" si="264"/>
        <v>1.8345289443697377</v>
      </c>
      <c r="BL214" s="4">
        <f t="shared" si="265"/>
        <v>72.06293648510227</v>
      </c>
      <c r="BM214" s="4">
        <f t="shared" si="266"/>
        <v>82.650469717094211</v>
      </c>
      <c r="BN214" s="4">
        <f t="shared" si="267"/>
        <v>-104.33963696313249</v>
      </c>
      <c r="BO214" s="4">
        <f t="shared" si="268"/>
        <v>-531.97767682030712</v>
      </c>
      <c r="BP214" s="4">
        <f t="shared" si="269"/>
        <v>-170.50288774980635</v>
      </c>
      <c r="BQ214" s="4">
        <f t="shared" si="270"/>
        <v>-84.52715301374721</v>
      </c>
      <c r="BR214" s="4">
        <f t="shared" si="271"/>
        <v>238.11462256507232</v>
      </c>
      <c r="BS214" s="4">
        <f t="shared" si="272"/>
        <v>1024.9777341192807</v>
      </c>
      <c r="BT214" s="4">
        <f t="shared" si="273"/>
        <v>2125.1180290739608</v>
      </c>
      <c r="BU214" s="4">
        <f t="shared" si="274"/>
        <v>20.337209102237825</v>
      </c>
      <c r="BV214" s="4">
        <f t="shared" si="275"/>
        <v>163.7551220060769</v>
      </c>
      <c r="BW214" s="4">
        <f t="shared" si="276"/>
        <v>-436.61583130396377</v>
      </c>
      <c r="BX214" s="4">
        <f t="shared" si="277"/>
        <v>-1256.4091179372945</v>
      </c>
      <c r="BY214" s="4">
        <f t="shared" si="278"/>
        <v>-1878.4436845807707</v>
      </c>
      <c r="BZ214" s="6">
        <f t="shared" si="279"/>
        <v>-1.3716119970442833</v>
      </c>
      <c r="CA214" s="7"/>
      <c r="CB214" s="6">
        <v>-1.3716188424718889</v>
      </c>
      <c r="CC214" s="6"/>
    </row>
    <row r="215" spans="1:81" x14ac:dyDescent="0.3">
      <c r="A215" s="4">
        <v>213</v>
      </c>
      <c r="B215" s="4">
        <v>76313505</v>
      </c>
      <c r="C215" s="4">
        <v>2.5310000000000001</v>
      </c>
      <c r="D215" s="4">
        <v>4.3129999999999997</v>
      </c>
      <c r="E215" s="4">
        <v>0.58799999999999997</v>
      </c>
      <c r="F215" s="4">
        <v>3.7450000000000001</v>
      </c>
      <c r="H215" s="6">
        <v>-2618.81325553337</v>
      </c>
      <c r="I215" s="4">
        <f t="shared" si="210"/>
        <v>117.47080211510001</v>
      </c>
      <c r="J215" s="4">
        <f t="shared" si="211"/>
        <v>-2122.5491896929998</v>
      </c>
      <c r="K215" s="4">
        <f t="shared" si="212"/>
        <v>1392.8700407999997</v>
      </c>
      <c r="L215" s="4">
        <f t="shared" si="213"/>
        <v>12101.990419400001</v>
      </c>
      <c r="M215" s="4">
        <f t="shared" si="214"/>
        <v>24.751741722348022</v>
      </c>
      <c r="N215" s="4">
        <f t="shared" si="215"/>
        <v>27.614863587113806</v>
      </c>
      <c r="O215" s="4">
        <f t="shared" si="216"/>
        <v>-102.434893968624</v>
      </c>
      <c r="P215" s="4">
        <f t="shared" si="217"/>
        <v>-363.43282973700497</v>
      </c>
      <c r="Q215" s="4">
        <f t="shared" si="218"/>
        <v>-223.24143938531748</v>
      </c>
      <c r="R215" s="4">
        <f t="shared" si="219"/>
        <v>458.91386418578389</v>
      </c>
      <c r="S215" s="4">
        <f t="shared" si="220"/>
        <v>6834.0600100918946</v>
      </c>
      <c r="T215" s="4">
        <f t="shared" si="221"/>
        <v>-143.50821309014395</v>
      </c>
      <c r="U215" s="4">
        <f t="shared" si="222"/>
        <v>-4527.4690735386002</v>
      </c>
      <c r="V215" s="4">
        <f t="shared" si="223"/>
        <v>-20850.9724099425</v>
      </c>
      <c r="W215" s="4">
        <f t="shared" si="224"/>
        <v>-0.58671705926223494</v>
      </c>
      <c r="X215" s="4">
        <f t="shared" si="225"/>
        <v>3.6660316622121227</v>
      </c>
      <c r="Y215" s="4">
        <f t="shared" si="226"/>
        <v>2.2403886951290182</v>
      </c>
      <c r="Z215" s="4">
        <f t="shared" si="227"/>
        <v>-62.918746323319503</v>
      </c>
      <c r="AA215" s="4">
        <f t="shared" si="228"/>
        <v>10.938838649286588</v>
      </c>
      <c r="AB215" s="4">
        <f t="shared" si="229"/>
        <v>-69.166829257444405</v>
      </c>
      <c r="AC215" s="4">
        <f t="shared" si="230"/>
        <v>1.4188580858547402</v>
      </c>
      <c r="AD215" s="4">
        <f t="shared" si="231"/>
        <v>71.798504928986901</v>
      </c>
      <c r="AE215" s="4">
        <f t="shared" si="232"/>
        <v>110.95729714251165</v>
      </c>
      <c r="AF215" s="4">
        <f t="shared" si="233"/>
        <v>424.03888190703481</v>
      </c>
      <c r="AG215" s="4">
        <f t="shared" si="234"/>
        <v>-34.733044292572401</v>
      </c>
      <c r="AH215" s="4">
        <f t="shared" si="235"/>
        <v>172.83401558285863</v>
      </c>
      <c r="AI215" s="4">
        <f t="shared" si="236"/>
        <v>335.80009191928877</v>
      </c>
      <c r="AJ215" s="4">
        <f t="shared" si="237"/>
        <v>-21.923426133140307</v>
      </c>
      <c r="AK215" s="4">
        <f t="shared" si="238"/>
        <v>-1179.2078242546172</v>
      </c>
      <c r="AL215" s="4">
        <f t="shared" si="239"/>
        <v>-7053.8406744815293</v>
      </c>
      <c r="AM215" s="4">
        <f t="shared" si="240"/>
        <v>-61.19643994389272</v>
      </c>
      <c r="AN215" s="4">
        <f t="shared" si="241"/>
        <v>418.70826530919277</v>
      </c>
      <c r="AO215" s="4">
        <f t="shared" si="242"/>
        <v>4929.7594770827855</v>
      </c>
      <c r="AP215" s="4">
        <f t="shared" si="243"/>
        <v>15729.686020875033</v>
      </c>
      <c r="AQ215" s="4">
        <f t="shared" si="244"/>
        <v>3.0284258940691091E-3</v>
      </c>
      <c r="AR215" s="4">
        <f t="shared" si="245"/>
        <v>-9.5840389260279379E-2</v>
      </c>
      <c r="AS215" s="4">
        <f t="shared" si="246"/>
        <v>3.1279597840515906E-3</v>
      </c>
      <c r="AT215" s="4">
        <f t="shared" si="247"/>
        <v>0.80602457095546198</v>
      </c>
      <c r="AU215" s="4">
        <f t="shared" si="248"/>
        <v>0.48494761968722189</v>
      </c>
      <c r="AV215" s="4">
        <f t="shared" si="249"/>
        <v>-4.8686610395354537E-3</v>
      </c>
      <c r="AW215" s="4">
        <f t="shared" si="250"/>
        <v>-5.0228944741631025</v>
      </c>
      <c r="AX215" s="4">
        <f t="shared" si="251"/>
        <v>-2.867398968065324</v>
      </c>
      <c r="AY215" s="4">
        <f t="shared" si="252"/>
        <v>5.5659061332577995</v>
      </c>
      <c r="AZ215" s="4">
        <f t="shared" si="253"/>
        <v>34.000509044176951</v>
      </c>
      <c r="BA215" s="4">
        <f t="shared" si="254"/>
        <v>-0.1755732541103171</v>
      </c>
      <c r="BB215" s="4">
        <f t="shared" si="255"/>
        <v>-7.0427259007727487</v>
      </c>
      <c r="BC215" s="4">
        <f t="shared" si="256"/>
        <v>-3.3282544364462416</v>
      </c>
      <c r="BD215" s="4">
        <f t="shared" si="257"/>
        <v>18.937924422534916</v>
      </c>
      <c r="BE215" s="4">
        <f t="shared" si="258"/>
        <v>45.296268098181095</v>
      </c>
      <c r="BF215" s="4">
        <f t="shared" si="259"/>
        <v>-27.082691570883661</v>
      </c>
      <c r="BG215" s="4">
        <f t="shared" si="260"/>
        <v>-4.9372436281480683</v>
      </c>
      <c r="BH215" s="4">
        <f t="shared" si="261"/>
        <v>-70.681084813752207</v>
      </c>
      <c r="BI215" s="4">
        <f t="shared" si="262"/>
        <v>-7.7161764843359348</v>
      </c>
      <c r="BJ215" s="4">
        <f t="shared" si="263"/>
        <v>-172.30627466658464</v>
      </c>
      <c r="BK215" s="4">
        <f t="shared" si="264"/>
        <v>0.21021630605455616</v>
      </c>
      <c r="BL215" s="4">
        <f t="shared" si="265"/>
        <v>10.264909143855121</v>
      </c>
      <c r="BM215" s="4">
        <f t="shared" si="266"/>
        <v>20.119208608403341</v>
      </c>
      <c r="BN215" s="4">
        <f t="shared" si="267"/>
        <v>-18.475397809341491</v>
      </c>
      <c r="BO215" s="4">
        <f t="shared" si="268"/>
        <v>-160.97569122071295</v>
      </c>
      <c r="BP215" s="4">
        <f t="shared" si="269"/>
        <v>-88.170040849900062</v>
      </c>
      <c r="BQ215" s="4">
        <f t="shared" si="270"/>
        <v>-18.605529792938469</v>
      </c>
      <c r="BR215" s="4">
        <f t="shared" si="271"/>
        <v>89.568289122364021</v>
      </c>
      <c r="BS215" s="4">
        <f t="shared" si="272"/>
        <v>658.878076023419</v>
      </c>
      <c r="BT215" s="4">
        <f t="shared" si="273"/>
        <v>2334.5119125952751</v>
      </c>
      <c r="BU215" s="4">
        <f t="shared" si="274"/>
        <v>5.5646579722680816</v>
      </c>
      <c r="BV215" s="4">
        <f t="shared" si="275"/>
        <v>76.571019216876834</v>
      </c>
      <c r="BW215" s="4">
        <f t="shared" si="276"/>
        <v>-348.89233380698931</v>
      </c>
      <c r="BX215" s="4">
        <f t="shared" si="277"/>
        <v>-1715.7161549979962</v>
      </c>
      <c r="BY215" s="4">
        <f t="shared" si="278"/>
        <v>-4383.640731887851</v>
      </c>
      <c r="BZ215" s="6">
        <f t="shared" si="279"/>
        <v>-1.4274752422252277</v>
      </c>
      <c r="CA215" s="7"/>
      <c r="CB215" s="6">
        <v>-1.427474728816378</v>
      </c>
      <c r="CC215" s="6"/>
    </row>
    <row r="216" spans="1:81" x14ac:dyDescent="0.3">
      <c r="A216" s="4">
        <v>214</v>
      </c>
      <c r="B216" s="4">
        <v>11695117</v>
      </c>
      <c r="C216" s="4">
        <v>2.3359999999999999</v>
      </c>
      <c r="D216" s="4">
        <v>3.6190000000000002</v>
      </c>
      <c r="E216" s="4">
        <v>0.39800000000000002</v>
      </c>
      <c r="F216" s="4">
        <v>3.69</v>
      </c>
      <c r="H216" s="6">
        <v>-2618.81325553337</v>
      </c>
      <c r="I216" s="4">
        <f t="shared" si="210"/>
        <v>108.4203057056</v>
      </c>
      <c r="J216" s="4">
        <f t="shared" si="211"/>
        <v>-1781.0121765590002</v>
      </c>
      <c r="K216" s="4">
        <f t="shared" si="212"/>
        <v>942.79298679999999</v>
      </c>
      <c r="L216" s="4">
        <f t="shared" si="213"/>
        <v>11924.257582799999</v>
      </c>
      <c r="M216" s="4">
        <f t="shared" si="214"/>
        <v>21.084686653214717</v>
      </c>
      <c r="N216" s="4">
        <f t="shared" si="215"/>
        <v>21.386155509167679</v>
      </c>
      <c r="O216" s="4">
        <f t="shared" si="216"/>
        <v>-63.993278650623999</v>
      </c>
      <c r="P216" s="4">
        <f t="shared" si="217"/>
        <v>-330.50603418335993</v>
      </c>
      <c r="Q216" s="4">
        <f t="shared" si="218"/>
        <v>-157.17847253165752</v>
      </c>
      <c r="R216" s="4">
        <f t="shared" si="219"/>
        <v>260.64299012413198</v>
      </c>
      <c r="S216" s="4">
        <f t="shared" si="220"/>
        <v>5650.1822583983703</v>
      </c>
      <c r="T216" s="4">
        <f t="shared" si="221"/>
        <v>-65.748863281303997</v>
      </c>
      <c r="U216" s="4">
        <f t="shared" si="222"/>
        <v>-3019.5052045722005</v>
      </c>
      <c r="V216" s="4">
        <f t="shared" si="223"/>
        <v>-20243.024552969997</v>
      </c>
      <c r="W216" s="4">
        <f t="shared" si="224"/>
        <v>-0.46128655412674557</v>
      </c>
      <c r="X216" s="4">
        <f t="shared" si="225"/>
        <v>2.6203947643034615</v>
      </c>
      <c r="Y216" s="4">
        <f t="shared" si="226"/>
        <v>1.2917857967371162</v>
      </c>
      <c r="Z216" s="4">
        <f t="shared" si="227"/>
        <v>-52.809978571323484</v>
      </c>
      <c r="AA216" s="4">
        <f t="shared" si="228"/>
        <v>7.1083721983350108</v>
      </c>
      <c r="AB216" s="4">
        <f t="shared" si="229"/>
        <v>-36.257130645363937</v>
      </c>
      <c r="AC216" s="4">
        <f t="shared" si="230"/>
        <v>1.0826879964699618</v>
      </c>
      <c r="AD216" s="4">
        <f t="shared" si="231"/>
        <v>30.360406789337166</v>
      </c>
      <c r="AE216" s="4">
        <f t="shared" si="232"/>
        <v>68.299394329198662</v>
      </c>
      <c r="AF216" s="4">
        <f t="shared" si="233"/>
        <v>379.95788559914786</v>
      </c>
      <c r="AG216" s="4">
        <f t="shared" si="234"/>
        <v>-20.519663051042702</v>
      </c>
      <c r="AH216" s="4">
        <f t="shared" si="235"/>
        <v>82.366993936987868</v>
      </c>
      <c r="AI216" s="4">
        <f t="shared" si="236"/>
        <v>232.95584130098365</v>
      </c>
      <c r="AJ216" s="4">
        <f t="shared" si="237"/>
        <v>-8.4280876289497897</v>
      </c>
      <c r="AK216" s="4">
        <f t="shared" si="238"/>
        <v>-659.90249022402941</v>
      </c>
      <c r="AL216" s="4">
        <f t="shared" si="239"/>
        <v>-5746.2412999176104</v>
      </c>
      <c r="AM216" s="4">
        <f t="shared" si="240"/>
        <v>-18.9776920954689</v>
      </c>
      <c r="AN216" s="4">
        <f t="shared" si="241"/>
        <v>189.01556555342799</v>
      </c>
      <c r="AO216" s="4">
        <f t="shared" si="242"/>
        <v>3239.5192488386856</v>
      </c>
      <c r="AP216" s="4">
        <f t="shared" si="243"/>
        <v>15046.783984031114</v>
      </c>
      <c r="AQ216" s="4">
        <f t="shared" si="244"/>
        <v>2.1975548517298698E-3</v>
      </c>
      <c r="AR216" s="4">
        <f t="shared" si="245"/>
        <v>-6.3226592056625217E-2</v>
      </c>
      <c r="AS216" s="4">
        <f t="shared" si="246"/>
        <v>1.6645965361447035E-3</v>
      </c>
      <c r="AT216" s="4">
        <f t="shared" si="247"/>
        <v>0.62440289082217315</v>
      </c>
      <c r="AU216" s="4">
        <f t="shared" si="248"/>
        <v>0.29085361666693671</v>
      </c>
      <c r="AV216" s="4">
        <f t="shared" si="249"/>
        <v>-2.3555145822249032E-3</v>
      </c>
      <c r="AW216" s="4">
        <f t="shared" si="250"/>
        <v>-3.5375216773529807</v>
      </c>
      <c r="AX216" s="4">
        <f t="shared" si="251"/>
        <v>-1.1190796624230397</v>
      </c>
      <c r="AY216" s="4">
        <f t="shared" si="252"/>
        <v>3.1621142297577527</v>
      </c>
      <c r="AZ216" s="4">
        <f t="shared" si="253"/>
        <v>28.11874245733722</v>
      </c>
      <c r="BA216" s="4">
        <f t="shared" si="254"/>
        <v>-9.5734048827843449E-2</v>
      </c>
      <c r="BB216" s="4">
        <f t="shared" si="255"/>
        <v>-3.0977436500747562</v>
      </c>
      <c r="BC216" s="4">
        <f t="shared" si="256"/>
        <v>-2.1310321751404584</v>
      </c>
      <c r="BD216" s="4">
        <f t="shared" si="257"/>
        <v>6.7194494215395286</v>
      </c>
      <c r="BE216" s="4">
        <f t="shared" si="258"/>
        <v>23.39551075647914</v>
      </c>
      <c r="BF216" s="4">
        <f t="shared" si="259"/>
        <v>-20.362482793163839</v>
      </c>
      <c r="BG216" s="4">
        <f t="shared" si="260"/>
        <v>-1.4131312134910106</v>
      </c>
      <c r="BH216" s="4">
        <f t="shared" si="261"/>
        <v>-29.448958216904735</v>
      </c>
      <c r="BI216" s="4">
        <f t="shared" si="262"/>
        <v>-4.679911924745034</v>
      </c>
      <c r="BJ216" s="4">
        <f t="shared" si="263"/>
        <v>-152.12669092704738</v>
      </c>
      <c r="BK216" s="4">
        <f t="shared" si="264"/>
        <v>0.10420844135229917</v>
      </c>
      <c r="BL216" s="4">
        <f t="shared" si="265"/>
        <v>4.1047643575945116</v>
      </c>
      <c r="BM216" s="4">
        <f t="shared" si="266"/>
        <v>11.711507819299353</v>
      </c>
      <c r="BN216" s="4">
        <f t="shared" si="267"/>
        <v>-5.9596882193017073</v>
      </c>
      <c r="BO216" s="4">
        <f t="shared" si="268"/>
        <v>-75.589041553216873</v>
      </c>
      <c r="BP216" s="4">
        <f t="shared" si="269"/>
        <v>-60.268222116102706</v>
      </c>
      <c r="BQ216" s="4">
        <f t="shared" si="270"/>
        <v>-4.8413714416466496</v>
      </c>
      <c r="BR216" s="4">
        <f t="shared" si="271"/>
        <v>33.927310993482934</v>
      </c>
      <c r="BS216" s="4">
        <f t="shared" si="272"/>
        <v>363.30302666669388</v>
      </c>
      <c r="BT216" s="4">
        <f t="shared" si="273"/>
        <v>1873.8242356856108</v>
      </c>
      <c r="BU216" s="4">
        <f t="shared" si="274"/>
        <v>1.1680500702747134</v>
      </c>
      <c r="BV216" s="4">
        <f t="shared" si="275"/>
        <v>23.396786390510197</v>
      </c>
      <c r="BW216" s="4">
        <f t="shared" si="276"/>
        <v>-155.18580988637379</v>
      </c>
      <c r="BX216" s="4">
        <f t="shared" si="277"/>
        <v>-1110.8996218203658</v>
      </c>
      <c r="BY216" s="4">
        <f t="shared" si="278"/>
        <v>-4131.7413842308388</v>
      </c>
      <c r="BZ216" s="6">
        <f t="shared" si="279"/>
        <v>-1.9581215590633292</v>
      </c>
      <c r="CA216" s="7"/>
      <c r="CB216" s="6">
        <v>-1.958119149367576</v>
      </c>
      <c r="CC216" s="6"/>
    </row>
    <row r="217" spans="1:81" x14ac:dyDescent="0.3">
      <c r="A217" s="4">
        <v>215</v>
      </c>
      <c r="B217" s="4">
        <v>72545061</v>
      </c>
      <c r="C217" s="4">
        <v>2.2759999999999998</v>
      </c>
      <c r="D217" s="4">
        <v>2.5680000000000001</v>
      </c>
      <c r="E217" s="4">
        <v>0.36399999999999999</v>
      </c>
      <c r="F217" s="4">
        <v>3.2519999999999998</v>
      </c>
      <c r="H217" s="6">
        <v>-2618.81325553337</v>
      </c>
      <c r="I217" s="4">
        <f t="shared" si="210"/>
        <v>105.6355375796</v>
      </c>
      <c r="J217" s="4">
        <f t="shared" si="211"/>
        <v>-1263.7853742480002</v>
      </c>
      <c r="K217" s="4">
        <f t="shared" si="212"/>
        <v>862.25288239999998</v>
      </c>
      <c r="L217" s="4">
        <f t="shared" si="213"/>
        <v>10508.857902239999</v>
      </c>
      <c r="M217" s="4">
        <f t="shared" si="214"/>
        <v>20.015479087104318</v>
      </c>
      <c r="N217" s="4">
        <f t="shared" si="215"/>
        <v>14.785587169671357</v>
      </c>
      <c r="O217" s="4">
        <f t="shared" si="216"/>
        <v>-57.023266594111988</v>
      </c>
      <c r="P217" s="4">
        <f t="shared" si="217"/>
        <v>-283.79385212740794</v>
      </c>
      <c r="Q217" s="4">
        <f t="shared" si="218"/>
        <v>-79.141802352480013</v>
      </c>
      <c r="R217" s="4">
        <f t="shared" si="219"/>
        <v>169.14953067667199</v>
      </c>
      <c r="S217" s="4">
        <f t="shared" si="220"/>
        <v>3533.402111010912</v>
      </c>
      <c r="T217" s="4">
        <f t="shared" si="221"/>
        <v>-54.995210912095999</v>
      </c>
      <c r="U217" s="4">
        <f t="shared" si="222"/>
        <v>-2433.7628908756801</v>
      </c>
      <c r="V217" s="4">
        <f t="shared" si="223"/>
        <v>-15722.577473140798</v>
      </c>
      <c r="W217" s="4">
        <f t="shared" si="224"/>
        <v>-0.42664735105169754</v>
      </c>
      <c r="X217" s="4">
        <f t="shared" si="225"/>
        <v>1.7651109042202839</v>
      </c>
      <c r="Y217" s="4">
        <f t="shared" si="226"/>
        <v>1.1215216334800731</v>
      </c>
      <c r="Z217" s="4">
        <f t="shared" si="227"/>
        <v>-44.181351892757391</v>
      </c>
      <c r="AA217" s="4">
        <f t="shared" si="228"/>
        <v>3.4872449296168644</v>
      </c>
      <c r="AB217" s="4">
        <f t="shared" si="229"/>
        <v>-22.925435720556091</v>
      </c>
      <c r="AC217" s="4">
        <f t="shared" si="230"/>
        <v>0.65968004671269398</v>
      </c>
      <c r="AD217" s="4">
        <f t="shared" si="231"/>
        <v>24.742502833262321</v>
      </c>
      <c r="AE217" s="4">
        <f t="shared" si="232"/>
        <v>53.636292939320583</v>
      </c>
      <c r="AF217" s="4">
        <f t="shared" si="233"/>
        <v>287.53003886045417</v>
      </c>
      <c r="AG217" s="4">
        <f t="shared" si="234"/>
        <v>-7.3314442071790573</v>
      </c>
      <c r="AH217" s="4">
        <f t="shared" si="235"/>
        <v>37.930136047446993</v>
      </c>
      <c r="AI217" s="4">
        <f t="shared" si="236"/>
        <v>103.37383973297445</v>
      </c>
      <c r="AJ217" s="4">
        <f t="shared" si="237"/>
        <v>-5.0023272752753662</v>
      </c>
      <c r="AK217" s="4">
        <f t="shared" si="238"/>
        <v>-377.42328113440198</v>
      </c>
      <c r="AL217" s="4">
        <f t="shared" si="239"/>
        <v>-3166.9312611623404</v>
      </c>
      <c r="AM217" s="4">
        <f t="shared" si="240"/>
        <v>-14.517717153302272</v>
      </c>
      <c r="AN217" s="4">
        <f t="shared" si="241"/>
        <v>139.33440391557522</v>
      </c>
      <c r="AO217" s="4">
        <f t="shared" si="242"/>
        <v>2301.1621281247171</v>
      </c>
      <c r="AP217" s="4">
        <f t="shared" si="243"/>
        <v>10299.501340200773</v>
      </c>
      <c r="AQ217" s="4">
        <f t="shared" si="244"/>
        <v>1.9803292453786634E-3</v>
      </c>
      <c r="AR217" s="4">
        <f t="shared" si="245"/>
        <v>-4.1495831158885069E-2</v>
      </c>
      <c r="AS217" s="4">
        <f t="shared" si="246"/>
        <v>1.4080742485361362E-3</v>
      </c>
      <c r="AT217" s="4">
        <f t="shared" si="247"/>
        <v>0.50896431493903505</v>
      </c>
      <c r="AU217" s="4">
        <f t="shared" si="248"/>
        <v>0.13902284750825308</v>
      </c>
      <c r="AV217" s="4">
        <f t="shared" si="249"/>
        <v>-1.4511402345279141E-3</v>
      </c>
      <c r="AW217" s="4">
        <f t="shared" si="250"/>
        <v>-2.1000447799750273</v>
      </c>
      <c r="AX217" s="4">
        <f t="shared" si="251"/>
        <v>-0.88857985860182098</v>
      </c>
      <c r="AY217" s="4">
        <f t="shared" si="252"/>
        <v>2.4194623897896639</v>
      </c>
      <c r="AZ217" s="4">
        <f t="shared" si="253"/>
        <v>20.732089456681937</v>
      </c>
      <c r="BA217" s="4">
        <f t="shared" si="254"/>
        <v>-3.3326150774712696E-2</v>
      </c>
      <c r="BB217" s="4">
        <f t="shared" si="255"/>
        <v>-1.3898760740443017</v>
      </c>
      <c r="BC217" s="4">
        <f t="shared" si="256"/>
        <v>-0.92135388095403392</v>
      </c>
      <c r="BD217" s="4">
        <f t="shared" si="257"/>
        <v>3.885761741697046</v>
      </c>
      <c r="BE217" s="4">
        <f t="shared" si="258"/>
        <v>13.037096158577903</v>
      </c>
      <c r="BF217" s="4">
        <f t="shared" si="259"/>
        <v>-10.934147481408075</v>
      </c>
      <c r="BG217" s="4">
        <f t="shared" si="260"/>
        <v>-1.053263036687373</v>
      </c>
      <c r="BH217" s="4">
        <f t="shared" si="261"/>
        <v>-21.150963171299374</v>
      </c>
      <c r="BI217" s="4">
        <f t="shared" si="262"/>
        <v>-3.2389463333921045</v>
      </c>
      <c r="BJ217" s="4">
        <f t="shared" si="263"/>
        <v>-101.45590989339928</v>
      </c>
      <c r="BK217" s="4">
        <f t="shared" si="264"/>
        <v>2.6419746448128969E-2</v>
      </c>
      <c r="BL217" s="4">
        <f t="shared" si="265"/>
        <v>1.3412997728758078</v>
      </c>
      <c r="BM217" s="4">
        <f t="shared" si="266"/>
        <v>3.6877060205391863</v>
      </c>
      <c r="BN217" s="4">
        <f t="shared" si="267"/>
        <v>-2.5099960381296693</v>
      </c>
      <c r="BO217" s="4">
        <f t="shared" si="268"/>
        <v>-30.677092338249132</v>
      </c>
      <c r="BP217" s="4">
        <f t="shared" si="269"/>
        <v>-23.56945792489352</v>
      </c>
      <c r="BQ217" s="4">
        <f t="shared" si="270"/>
        <v>-2.6280267110848139</v>
      </c>
      <c r="BR217" s="4">
        <f t="shared" si="271"/>
        <v>17.74666167610226</v>
      </c>
      <c r="BS217" s="4">
        <f t="shared" si="272"/>
        <v>183.12266724507387</v>
      </c>
      <c r="BT217" s="4">
        <f t="shared" si="273"/>
        <v>910.13915877986699</v>
      </c>
      <c r="BU217" s="4">
        <f t="shared" si="274"/>
        <v>0.81721194536200836</v>
      </c>
      <c r="BV217" s="4">
        <f t="shared" si="275"/>
        <v>15.773763153714905</v>
      </c>
      <c r="BW217" s="4">
        <f t="shared" si="276"/>
        <v>-100.81774324425709</v>
      </c>
      <c r="BX217" s="4">
        <f t="shared" si="277"/>
        <v>-695.44956976681681</v>
      </c>
      <c r="BY217" s="4">
        <f t="shared" si="278"/>
        <v>-2492.4692737864971</v>
      </c>
      <c r="BZ217" s="6">
        <f t="shared" si="279"/>
        <v>-2.2391651374805406</v>
      </c>
      <c r="CA217" s="7"/>
      <c r="CB217" s="6">
        <v>-2.2391610625518301</v>
      </c>
      <c r="CC217" s="6"/>
    </row>
    <row r="218" spans="1:81" x14ac:dyDescent="0.3">
      <c r="A218" s="4">
        <v>216</v>
      </c>
      <c r="B218" s="4">
        <v>85987278</v>
      </c>
      <c r="C218" s="4">
        <v>2.4159999999999999</v>
      </c>
      <c r="D218" s="4">
        <v>3.4449999999999998</v>
      </c>
      <c r="E218" s="4">
        <v>0.40100000000000002</v>
      </c>
      <c r="F218" s="4">
        <v>3.6440000000000001</v>
      </c>
      <c r="H218" s="6">
        <v>-2618.81325553337</v>
      </c>
      <c r="I218" s="4">
        <f t="shared" si="210"/>
        <v>112.1333298736</v>
      </c>
      <c r="J218" s="4">
        <f t="shared" si="211"/>
        <v>-1695.3818591449999</v>
      </c>
      <c r="K218" s="4">
        <f t="shared" si="212"/>
        <v>949.89946659999998</v>
      </c>
      <c r="L218" s="4">
        <f t="shared" si="213"/>
        <v>11775.608301280001</v>
      </c>
      <c r="M218" s="4">
        <f t="shared" si="214"/>
        <v>22.553571982545918</v>
      </c>
      <c r="N218" s="4">
        <f t="shared" si="215"/>
        <v>21.055107111802396</v>
      </c>
      <c r="O218" s="4">
        <f t="shared" si="216"/>
        <v>-66.683709912127995</v>
      </c>
      <c r="P218" s="4">
        <f t="shared" si="217"/>
        <v>-337.56350423801598</v>
      </c>
      <c r="Q218" s="4">
        <f t="shared" si="218"/>
        <v>-142.4276636339375</v>
      </c>
      <c r="R218" s="4">
        <f t="shared" si="219"/>
        <v>249.98157094676998</v>
      </c>
      <c r="S218" s="4">
        <f t="shared" si="220"/>
        <v>5311.4745194838606</v>
      </c>
      <c r="T218" s="4">
        <f t="shared" si="221"/>
        <v>-66.743787811526005</v>
      </c>
      <c r="U218" s="4">
        <f t="shared" si="222"/>
        <v>-3004.3400356456405</v>
      </c>
      <c r="V218" s="4">
        <f t="shared" si="223"/>
        <v>-19741.466270107201</v>
      </c>
      <c r="W218" s="4">
        <f t="shared" si="224"/>
        <v>-0.51032056530216963</v>
      </c>
      <c r="X218" s="4">
        <f t="shared" si="225"/>
        <v>2.668182609144782</v>
      </c>
      <c r="Y218" s="4">
        <f t="shared" si="226"/>
        <v>1.3921947404163573</v>
      </c>
      <c r="Z218" s="4">
        <f t="shared" si="227"/>
        <v>-55.78483802641091</v>
      </c>
      <c r="AA218" s="4">
        <f t="shared" si="228"/>
        <v>6.6618605479749267</v>
      </c>
      <c r="AB218" s="4">
        <f t="shared" si="229"/>
        <v>-35.964950480114759</v>
      </c>
      <c r="AC218" s="4">
        <f t="shared" si="230"/>
        <v>1.0526404595728087</v>
      </c>
      <c r="AD218" s="4">
        <f t="shared" si="231"/>
        <v>31.875299848521671</v>
      </c>
      <c r="AE218" s="4">
        <f t="shared" si="232"/>
        <v>70.283640168971928</v>
      </c>
      <c r="AF218" s="4">
        <f t="shared" si="233"/>
        <v>383.23358163547033</v>
      </c>
      <c r="AG218" s="4">
        <f t="shared" si="234"/>
        <v>-17.699954683199859</v>
      </c>
      <c r="AH218" s="4">
        <f t="shared" si="235"/>
        <v>75.199647199085049</v>
      </c>
      <c r="AI218" s="4">
        <f t="shared" si="236"/>
        <v>208.4619966587945</v>
      </c>
      <c r="AJ218" s="4">
        <f t="shared" si="237"/>
        <v>-8.1442723184775172</v>
      </c>
      <c r="AK218" s="4">
        <f t="shared" si="238"/>
        <v>-625.01971002062692</v>
      </c>
      <c r="AL218" s="4">
        <f t="shared" si="239"/>
        <v>-5334.4359704720819</v>
      </c>
      <c r="AM218" s="4">
        <f t="shared" si="240"/>
        <v>-19.410078766284791</v>
      </c>
      <c r="AN218" s="4">
        <f t="shared" si="241"/>
        <v>189.48383822684957</v>
      </c>
      <c r="AO218" s="4">
        <f t="shared" si="242"/>
        <v>3183.0676560827092</v>
      </c>
      <c r="AP218" s="4">
        <f t="shared" si="243"/>
        <v>14491.044582550709</v>
      </c>
      <c r="AQ218" s="4">
        <f t="shared" si="244"/>
        <v>2.5144099700181461E-3</v>
      </c>
      <c r="AR218" s="4">
        <f t="shared" si="245"/>
        <v>-6.6584430787063276E-2</v>
      </c>
      <c r="AS218" s="4">
        <f t="shared" si="246"/>
        <v>1.8554214013072135E-3</v>
      </c>
      <c r="AT218" s="4">
        <f t="shared" si="247"/>
        <v>0.68216460501974585</v>
      </c>
      <c r="AU218" s="4">
        <f t="shared" si="248"/>
        <v>0.28191873483927055</v>
      </c>
      <c r="AV218" s="4">
        <f t="shared" si="249"/>
        <v>-2.4165507703967836E-3</v>
      </c>
      <c r="AW218" s="4">
        <f t="shared" si="250"/>
        <v>-3.5571316445174195</v>
      </c>
      <c r="AX218" s="4">
        <f t="shared" si="251"/>
        <v>-1.215155305134584</v>
      </c>
      <c r="AY218" s="4">
        <f t="shared" si="252"/>
        <v>3.3654182093813376</v>
      </c>
      <c r="AZ218" s="4">
        <f t="shared" si="253"/>
        <v>29.332432592590958</v>
      </c>
      <c r="BA218" s="4">
        <f t="shared" si="254"/>
        <v>-8.5406799500180361E-2</v>
      </c>
      <c r="BB218" s="4">
        <f t="shared" si="255"/>
        <v>-2.9250423188391017</v>
      </c>
      <c r="BC218" s="4">
        <f t="shared" si="256"/>
        <v>-1.9722746233804409</v>
      </c>
      <c r="BD218" s="4">
        <f t="shared" si="257"/>
        <v>6.7155413107123811</v>
      </c>
      <c r="BE218" s="4">
        <f t="shared" si="258"/>
        <v>22.917675627764908</v>
      </c>
      <c r="BF218" s="4">
        <f t="shared" si="259"/>
        <v>-19.550572044338093</v>
      </c>
      <c r="BG218" s="4">
        <f t="shared" si="260"/>
        <v>-1.4948254470495446</v>
      </c>
      <c r="BH218" s="4">
        <f t="shared" si="261"/>
        <v>-30.532940442632555</v>
      </c>
      <c r="BI218" s="4">
        <f t="shared" si="262"/>
        <v>-4.7558382571081399</v>
      </c>
      <c r="BJ218" s="4">
        <f t="shared" si="263"/>
        <v>-151.52542698745927</v>
      </c>
      <c r="BK218" s="4">
        <f t="shared" si="264"/>
        <v>8.5566835868385302E-2</v>
      </c>
      <c r="BL218" s="4">
        <f t="shared" si="265"/>
        <v>3.5673971462095255</v>
      </c>
      <c r="BM218" s="4">
        <f t="shared" si="266"/>
        <v>9.9762366867011174</v>
      </c>
      <c r="BN218" s="4">
        <f t="shared" si="267"/>
        <v>-5.4821059869586826</v>
      </c>
      <c r="BO218" s="4">
        <f t="shared" si="268"/>
        <v>-68.151187501736402</v>
      </c>
      <c r="BP218" s="4">
        <f t="shared" si="269"/>
        <v>-53.25908129839862</v>
      </c>
      <c r="BQ218" s="4">
        <f t="shared" si="270"/>
        <v>-4.7136024273502395</v>
      </c>
      <c r="BR218" s="4">
        <f t="shared" si="271"/>
        <v>32.37611143072818</v>
      </c>
      <c r="BS218" s="4">
        <f t="shared" si="272"/>
        <v>339.80906788479234</v>
      </c>
      <c r="BT218" s="4">
        <f t="shared" si="273"/>
        <v>1717.851036592542</v>
      </c>
      <c r="BU218" s="4">
        <f t="shared" si="274"/>
        <v>1.2036678538851062</v>
      </c>
      <c r="BV218" s="4">
        <f t="shared" si="275"/>
        <v>23.631544871353057</v>
      </c>
      <c r="BW218" s="4">
        <f t="shared" si="276"/>
        <v>-153.63091333564347</v>
      </c>
      <c r="BX218" s="4">
        <f t="shared" si="277"/>
        <v>-1077.9338890960933</v>
      </c>
      <c r="BY218" s="4">
        <f t="shared" si="278"/>
        <v>-3929.5347952264824</v>
      </c>
      <c r="BZ218" s="6">
        <f t="shared" si="279"/>
        <v>-1.8482328629365838</v>
      </c>
      <c r="CA218" s="7"/>
      <c r="CB218" s="6">
        <v>-1.8482301682211071</v>
      </c>
      <c r="CC218" s="6"/>
    </row>
    <row r="219" spans="1:81" x14ac:dyDescent="0.3">
      <c r="A219" s="4">
        <v>217</v>
      </c>
      <c r="B219" s="4">
        <v>44593443</v>
      </c>
      <c r="C219" s="4">
        <v>4.0350000000000001</v>
      </c>
      <c r="D219" s="4">
        <v>3.2679999999999998</v>
      </c>
      <c r="E219" s="4">
        <v>0.51800000000000002</v>
      </c>
      <c r="F219" s="4">
        <v>3.484</v>
      </c>
      <c r="H219" s="6">
        <v>-2618.81325553337</v>
      </c>
      <c r="I219" s="4">
        <f t="shared" si="210"/>
        <v>187.27565647350002</v>
      </c>
      <c r="J219" s="4">
        <f t="shared" si="211"/>
        <v>-1608.2751569479999</v>
      </c>
      <c r="K219" s="4">
        <f t="shared" si="212"/>
        <v>1227.0521787999999</v>
      </c>
      <c r="L219" s="4">
        <f t="shared" si="213"/>
        <v>11258.56732208</v>
      </c>
      <c r="M219" s="4">
        <f t="shared" si="214"/>
        <v>62.908387379104511</v>
      </c>
      <c r="N219" s="4">
        <f t="shared" si="215"/>
        <v>33.357760469262594</v>
      </c>
      <c r="O219" s="4">
        <f t="shared" si="216"/>
        <v>-143.86387363404</v>
      </c>
      <c r="P219" s="4">
        <f t="shared" si="217"/>
        <v>-539.01626923326</v>
      </c>
      <c r="Q219" s="4">
        <f t="shared" si="218"/>
        <v>-128.16811393147998</v>
      </c>
      <c r="R219" s="4">
        <f t="shared" si="219"/>
        <v>306.32765173886401</v>
      </c>
      <c r="S219" s="4">
        <f t="shared" si="220"/>
        <v>4817.344468604304</v>
      </c>
      <c r="T219" s="4">
        <f t="shared" si="221"/>
        <v>-111.373437483224</v>
      </c>
      <c r="U219" s="4">
        <f t="shared" si="222"/>
        <v>-3710.5155021407209</v>
      </c>
      <c r="V219" s="4">
        <f t="shared" si="223"/>
        <v>-18045.9172772112</v>
      </c>
      <c r="W219" s="4">
        <f t="shared" si="224"/>
        <v>-2.3772940180490538</v>
      </c>
      <c r="X219" s="4">
        <f t="shared" si="225"/>
        <v>7.0599494099441831</v>
      </c>
      <c r="Y219" s="4">
        <f t="shared" si="226"/>
        <v>5.0162433158722983</v>
      </c>
      <c r="Z219" s="4">
        <f t="shared" si="227"/>
        <v>-148.76787948174913</v>
      </c>
      <c r="AA219" s="4">
        <f t="shared" si="228"/>
        <v>10.012160195684515</v>
      </c>
      <c r="AB219" s="4">
        <f t="shared" si="229"/>
        <v>-73.604486043971818</v>
      </c>
      <c r="AC219" s="4">
        <f t="shared" si="230"/>
        <v>1.5944807022853764</v>
      </c>
      <c r="AD219" s="4">
        <f t="shared" si="231"/>
        <v>88.832454515214224</v>
      </c>
      <c r="AE219" s="4">
        <f t="shared" si="232"/>
        <v>144.97263107607245</v>
      </c>
      <c r="AF219" s="4">
        <f t="shared" si="233"/>
        <v>585.07255070392659</v>
      </c>
      <c r="AG219" s="4">
        <f t="shared" si="234"/>
        <v>-15.10951831020191</v>
      </c>
      <c r="AH219" s="4">
        <f t="shared" si="235"/>
        <v>87.415175425544817</v>
      </c>
      <c r="AI219" s="4">
        <f t="shared" si="236"/>
        <v>179.35451520788749</v>
      </c>
      <c r="AJ219" s="4">
        <f t="shared" si="237"/>
        <v>-12.89186896200636</v>
      </c>
      <c r="AK219" s="4">
        <f t="shared" si="238"/>
        <v>-732.27077176814578</v>
      </c>
      <c r="AL219" s="4">
        <f t="shared" si="239"/>
        <v>-4625.7364391898209</v>
      </c>
      <c r="AM219" s="4">
        <f t="shared" si="240"/>
        <v>-41.839208407272416</v>
      </c>
      <c r="AN219" s="4">
        <f t="shared" si="241"/>
        <v>302.30318692280031</v>
      </c>
      <c r="AO219" s="4">
        <f t="shared" si="242"/>
        <v>3758.6407059227013</v>
      </c>
      <c r="AP219" s="4">
        <f t="shared" si="243"/>
        <v>12664.820144995447</v>
      </c>
      <c r="AQ219" s="4">
        <f t="shared" si="244"/>
        <v>1.9562417641231705E-2</v>
      </c>
      <c r="AR219" s="4">
        <f t="shared" si="245"/>
        <v>-0.29424245834885315</v>
      </c>
      <c r="AS219" s="4">
        <f t="shared" si="246"/>
        <v>1.116523262949615E-2</v>
      </c>
      <c r="AT219" s="4">
        <f t="shared" si="247"/>
        <v>3.0382869418363545</v>
      </c>
      <c r="AU219" s="4">
        <f t="shared" si="248"/>
        <v>0.70762439928693199</v>
      </c>
      <c r="AV219" s="4">
        <f t="shared" si="249"/>
        <v>-8.2597585242647417E-3</v>
      </c>
      <c r="AW219" s="4">
        <f t="shared" si="250"/>
        <v>-8.998823960028389</v>
      </c>
      <c r="AX219" s="4">
        <f t="shared" si="251"/>
        <v>-5.6558226102042566</v>
      </c>
      <c r="AY219" s="4">
        <f t="shared" si="252"/>
        <v>11.593576275274932</v>
      </c>
      <c r="AZ219" s="4">
        <f t="shared" si="253"/>
        <v>74.789538887271078</v>
      </c>
      <c r="BA219" s="4">
        <f t="shared" si="254"/>
        <v>-0.12176361172273162</v>
      </c>
      <c r="BB219" s="4">
        <f t="shared" si="255"/>
        <v>-5.6787113399590865</v>
      </c>
      <c r="BC219" s="4">
        <f t="shared" si="256"/>
        <v>-2.8339972024785274</v>
      </c>
      <c r="BD219" s="4">
        <f t="shared" si="257"/>
        <v>17.753796191215663</v>
      </c>
      <c r="BE219" s="4">
        <f t="shared" si="258"/>
        <v>44.843052130656773</v>
      </c>
      <c r="BF219" s="4">
        <f t="shared" si="259"/>
        <v>-28.313819299991771</v>
      </c>
      <c r="BG219" s="4">
        <f t="shared" si="260"/>
        <v>-5.3813749514588221</v>
      </c>
      <c r="BH219" s="4">
        <f t="shared" si="261"/>
        <v>-81.355288964219</v>
      </c>
      <c r="BI219" s="4">
        <f t="shared" si="262"/>
        <v>-9.3790451912574451</v>
      </c>
      <c r="BJ219" s="4">
        <f t="shared" si="263"/>
        <v>-221.17266945259175</v>
      </c>
      <c r="BK219" s="4">
        <f t="shared" si="264"/>
        <v>6.9290988853092123E-2</v>
      </c>
      <c r="BL219" s="4">
        <f t="shared" si="265"/>
        <v>3.933827504807657</v>
      </c>
      <c r="BM219" s="4">
        <f t="shared" si="266"/>
        <v>8.1422603919678505</v>
      </c>
      <c r="BN219" s="4">
        <f t="shared" si="267"/>
        <v>-8.2319712519459234</v>
      </c>
      <c r="BO219" s="4">
        <f t="shared" si="268"/>
        <v>-75.743302332243218</v>
      </c>
      <c r="BP219" s="4">
        <f t="shared" si="269"/>
        <v>-43.810566610996062</v>
      </c>
      <c r="BQ219" s="4">
        <f t="shared" si="270"/>
        <v>-9.6383331087816142</v>
      </c>
      <c r="BR219" s="4">
        <f t="shared" si="271"/>
        <v>48.999095137947265</v>
      </c>
      <c r="BS219" s="4">
        <f t="shared" si="272"/>
        <v>380.63851358248655</v>
      </c>
      <c r="BT219" s="4">
        <f t="shared" si="273"/>
        <v>1424.2218916771487</v>
      </c>
      <c r="BU219" s="4">
        <f t="shared" si="274"/>
        <v>3.3515693531642952</v>
      </c>
      <c r="BV219" s="4">
        <f t="shared" si="275"/>
        <v>48.70214094620254</v>
      </c>
      <c r="BW219" s="4">
        <f t="shared" si="276"/>
        <v>-234.3413582409805</v>
      </c>
      <c r="BX219" s="4">
        <f t="shared" si="277"/>
        <v>-1216.961522673327</v>
      </c>
      <c r="BY219" s="4">
        <f t="shared" si="278"/>
        <v>-3283.5244223696304</v>
      </c>
      <c r="BZ219" s="6">
        <f t="shared" si="279"/>
        <v>-1.2428316883965635</v>
      </c>
      <c r="CA219" s="7"/>
      <c r="CB219" s="6">
        <v>-1.242829490558961</v>
      </c>
      <c r="CC219" s="6"/>
    </row>
    <row r="220" spans="1:81" x14ac:dyDescent="0.3">
      <c r="A220" s="4">
        <v>218</v>
      </c>
      <c r="B220" s="4">
        <v>72545542</v>
      </c>
      <c r="C220" s="4">
        <v>1.895</v>
      </c>
      <c r="D220" s="4">
        <v>2.5840000000000001</v>
      </c>
      <c r="E220" s="4">
        <v>0.39200000000000002</v>
      </c>
      <c r="F220" s="4">
        <v>2.8690000000000002</v>
      </c>
      <c r="H220" s="6">
        <v>-2618.81325553337</v>
      </c>
      <c r="I220" s="4">
        <f t="shared" si="210"/>
        <v>87.952259979499999</v>
      </c>
      <c r="J220" s="4">
        <f t="shared" si="211"/>
        <v>-1271.659426424</v>
      </c>
      <c r="K220" s="4">
        <f t="shared" si="212"/>
        <v>928.58002720000002</v>
      </c>
      <c r="L220" s="4">
        <f t="shared" si="213"/>
        <v>9271.191058280001</v>
      </c>
      <c r="M220" s="4">
        <f t="shared" si="214"/>
        <v>13.875220801140502</v>
      </c>
      <c r="N220" s="4">
        <f t="shared" si="215"/>
        <v>12.387196374943599</v>
      </c>
      <c r="O220" s="4">
        <f t="shared" si="216"/>
        <v>-51.129757426719998</v>
      </c>
      <c r="P220" s="4">
        <f t="shared" si="217"/>
        <v>-208.45866441564499</v>
      </c>
      <c r="Q220" s="4">
        <f t="shared" si="218"/>
        <v>-80.131065281120001</v>
      </c>
      <c r="R220" s="4">
        <f t="shared" si="219"/>
        <v>183.295992743808</v>
      </c>
      <c r="S220" s="4">
        <f t="shared" si="220"/>
        <v>3136.6825323370326</v>
      </c>
      <c r="T220" s="4">
        <f t="shared" si="221"/>
        <v>-63.781428040064007</v>
      </c>
      <c r="U220" s="4">
        <f t="shared" si="222"/>
        <v>-2312.2935063608807</v>
      </c>
      <c r="V220" s="4">
        <f t="shared" si="223"/>
        <v>-12237.248127029703</v>
      </c>
      <c r="W220" s="4">
        <f t="shared" si="224"/>
        <v>-0.24625208894931566</v>
      </c>
      <c r="X220" s="4">
        <f t="shared" si="225"/>
        <v>1.2312419412397415</v>
      </c>
      <c r="Y220" s="4">
        <f t="shared" si="226"/>
        <v>0.83727139081091106</v>
      </c>
      <c r="Z220" s="4">
        <f t="shared" si="227"/>
        <v>-27.020471624733563</v>
      </c>
      <c r="AA220" s="4">
        <f t="shared" si="228"/>
        <v>2.9397770009805253</v>
      </c>
      <c r="AB220" s="4">
        <f t="shared" si="229"/>
        <v>-20.68410475011888</v>
      </c>
      <c r="AC220" s="4">
        <f t="shared" si="230"/>
        <v>0.48758215896400992</v>
      </c>
      <c r="AD220" s="4">
        <f t="shared" si="231"/>
        <v>23.89185949171258</v>
      </c>
      <c r="AE220" s="4">
        <f t="shared" si="232"/>
        <v>42.428766431173678</v>
      </c>
      <c r="AF220" s="4">
        <f t="shared" si="233"/>
        <v>186.3288923516821</v>
      </c>
      <c r="AG220" s="4">
        <f t="shared" si="234"/>
        <v>-7.4693361297014862</v>
      </c>
      <c r="AH220" s="4">
        <f t="shared" si="235"/>
        <v>41.358431850292128</v>
      </c>
      <c r="AI220" s="4">
        <f t="shared" si="236"/>
        <v>92.339100412972215</v>
      </c>
      <c r="AJ220" s="4">
        <f t="shared" si="237"/>
        <v>-5.8376621715263504</v>
      </c>
      <c r="AK220" s="4">
        <f t="shared" si="238"/>
        <v>-360.82022291020525</v>
      </c>
      <c r="AL220" s="4">
        <f t="shared" si="239"/>
        <v>-2480.2539480065243</v>
      </c>
      <c r="AM220" s="4">
        <f t="shared" si="240"/>
        <v>-18.132278501894145</v>
      </c>
      <c r="AN220" s="4">
        <f t="shared" si="241"/>
        <v>142.56330077698556</v>
      </c>
      <c r="AO220" s="4">
        <f t="shared" si="242"/>
        <v>1928.8209918648618</v>
      </c>
      <c r="AP220" s="4">
        <f t="shared" si="243"/>
        <v>7072.2276590988931</v>
      </c>
      <c r="AQ220" s="4">
        <f t="shared" si="244"/>
        <v>9.5166747660069728E-4</v>
      </c>
      <c r="AR220" s="4">
        <f t="shared" si="245"/>
        <v>-2.4099766100874283E-2</v>
      </c>
      <c r="AS220" s="4">
        <f t="shared" si="246"/>
        <v>8.7522781076194089E-4</v>
      </c>
      <c r="AT220" s="4">
        <f t="shared" si="247"/>
        <v>0.25916611273928752</v>
      </c>
      <c r="AU220" s="4">
        <f t="shared" si="248"/>
        <v>9.7578710052107276E-2</v>
      </c>
      <c r="AV220" s="4">
        <f t="shared" si="249"/>
        <v>-1.090097817274676E-3</v>
      </c>
      <c r="AW220" s="4">
        <f t="shared" si="250"/>
        <v>-1.2923494723847027</v>
      </c>
      <c r="AX220" s="4">
        <f t="shared" si="251"/>
        <v>-0.71439720176579169</v>
      </c>
      <c r="AY220" s="4">
        <f t="shared" si="252"/>
        <v>1.5935198704987841</v>
      </c>
      <c r="AZ220" s="4">
        <f t="shared" si="253"/>
        <v>11.186056534132501</v>
      </c>
      <c r="BA220" s="4">
        <f t="shared" si="254"/>
        <v>-2.826926917865458E-2</v>
      </c>
      <c r="BB220" s="4">
        <f t="shared" si="255"/>
        <v>-1.2618063209511348</v>
      </c>
      <c r="BC220" s="4">
        <f t="shared" si="256"/>
        <v>-0.68523323255265756</v>
      </c>
      <c r="BD220" s="4">
        <f t="shared" si="257"/>
        <v>3.7755478718231283</v>
      </c>
      <c r="BE220" s="4">
        <f t="shared" si="258"/>
        <v>10.377195771024574</v>
      </c>
      <c r="BF220" s="4">
        <f t="shared" si="259"/>
        <v>-7.1298336396231861</v>
      </c>
      <c r="BG220" s="4">
        <f t="shared" si="260"/>
        <v>-1.0952867905047743</v>
      </c>
      <c r="BH220" s="4">
        <f t="shared" si="261"/>
        <v>-18.018410781419327</v>
      </c>
      <c r="BI220" s="4">
        <f t="shared" si="262"/>
        <v>-2.2604006045395604</v>
      </c>
      <c r="BJ220" s="4">
        <f t="shared" si="263"/>
        <v>-58.003518763003235</v>
      </c>
      <c r="BK220" s="4">
        <f t="shared" si="264"/>
        <v>2.7084361704581738E-2</v>
      </c>
      <c r="BL220" s="4">
        <f t="shared" si="265"/>
        <v>1.4716448135183355</v>
      </c>
      <c r="BM220" s="4">
        <f t="shared" si="266"/>
        <v>3.3145820447486538</v>
      </c>
      <c r="BN220" s="4">
        <f t="shared" si="267"/>
        <v>-2.9473884857207087</v>
      </c>
      <c r="BO220" s="4">
        <f t="shared" si="268"/>
        <v>-29.510316551173439</v>
      </c>
      <c r="BP220" s="4">
        <f t="shared" si="269"/>
        <v>-18.573963885172677</v>
      </c>
      <c r="BQ220" s="4">
        <f t="shared" si="270"/>
        <v>-3.3027926928890632</v>
      </c>
      <c r="BR220" s="4">
        <f t="shared" si="271"/>
        <v>18.271051340332651</v>
      </c>
      <c r="BS220" s="4">
        <f t="shared" si="272"/>
        <v>154.44871569271197</v>
      </c>
      <c r="BT220" s="4">
        <f t="shared" si="273"/>
        <v>628.84747900586319</v>
      </c>
      <c r="BU220" s="4">
        <f t="shared" si="274"/>
        <v>1.0991916982257945</v>
      </c>
      <c r="BV220" s="4">
        <f t="shared" si="275"/>
        <v>17.380784582562011</v>
      </c>
      <c r="BW220" s="4">
        <f t="shared" si="276"/>
        <v>-91.005231996411908</v>
      </c>
      <c r="BX220" s="4">
        <f t="shared" si="277"/>
        <v>-514.26901678929721</v>
      </c>
      <c r="BY220" s="4">
        <f t="shared" si="278"/>
        <v>-1509.9058178015171</v>
      </c>
      <c r="BZ220" s="6">
        <f t="shared" si="279"/>
        <v>-2.4381430449595882</v>
      </c>
      <c r="CA220" s="7"/>
      <c r="CB220" s="6">
        <v>-2.438139544875412</v>
      </c>
      <c r="CC220" s="6"/>
    </row>
    <row r="221" spans="1:81" x14ac:dyDescent="0.3">
      <c r="A221" s="4">
        <v>219</v>
      </c>
      <c r="B221" s="4">
        <v>21680430</v>
      </c>
      <c r="C221" s="4">
        <v>4.157</v>
      </c>
      <c r="D221" s="4">
        <v>3.387</v>
      </c>
      <c r="E221" s="4">
        <v>0.59699999999999998</v>
      </c>
      <c r="F221" s="4">
        <v>3.4580000000000002</v>
      </c>
      <c r="H221" s="6">
        <v>-2618.81325553337</v>
      </c>
      <c r="I221" s="4">
        <f t="shared" si="210"/>
        <v>192.93801832970001</v>
      </c>
      <c r="J221" s="4">
        <f t="shared" si="211"/>
        <v>-1666.838420007</v>
      </c>
      <c r="K221" s="4">
        <f t="shared" si="212"/>
        <v>1414.1894801999999</v>
      </c>
      <c r="L221" s="4">
        <f t="shared" si="213"/>
        <v>11174.54816296</v>
      </c>
      <c r="M221" s="4">
        <f t="shared" si="214"/>
        <v>66.770022615272183</v>
      </c>
      <c r="N221" s="4">
        <f t="shared" si="215"/>
        <v>35.617753180701932</v>
      </c>
      <c r="O221" s="4">
        <f t="shared" si="216"/>
        <v>-170.81767509673199</v>
      </c>
      <c r="P221" s="4">
        <f t="shared" si="217"/>
        <v>-551.16953143197406</v>
      </c>
      <c r="Q221" s="4">
        <f t="shared" si="218"/>
        <v>-137.67221221881749</v>
      </c>
      <c r="R221" s="4">
        <f t="shared" si="219"/>
        <v>365.90127419885397</v>
      </c>
      <c r="S221" s="4">
        <f t="shared" si="220"/>
        <v>4955.5024299782826</v>
      </c>
      <c r="T221" s="4">
        <f t="shared" si="221"/>
        <v>-147.93494238293397</v>
      </c>
      <c r="U221" s="4">
        <f t="shared" si="222"/>
        <v>-4244.4914623620607</v>
      </c>
      <c r="V221" s="4">
        <f t="shared" si="223"/>
        <v>-17777.580235942802</v>
      </c>
      <c r="W221" s="4">
        <f t="shared" si="224"/>
        <v>-2.599515156282544</v>
      </c>
      <c r="X221" s="4">
        <f t="shared" si="225"/>
        <v>7.7661845873921269</v>
      </c>
      <c r="Y221" s="4">
        <f t="shared" si="226"/>
        <v>6.1361523849637551</v>
      </c>
      <c r="Z221" s="4">
        <f t="shared" si="227"/>
        <v>-156.72164668620263</v>
      </c>
      <c r="AA221" s="4">
        <f t="shared" si="228"/>
        <v>11.079765601918711</v>
      </c>
      <c r="AB221" s="4">
        <f t="shared" si="229"/>
        <v>-90.577116336789615</v>
      </c>
      <c r="AC221" s="4">
        <f t="shared" si="230"/>
        <v>1.6898017060919783</v>
      </c>
      <c r="AD221" s="4">
        <f t="shared" si="231"/>
        <v>121.56184709005473</v>
      </c>
      <c r="AE221" s="4">
        <f t="shared" si="232"/>
        <v>170.84958189580612</v>
      </c>
      <c r="AF221" s="4">
        <f t="shared" si="233"/>
        <v>593.7995906345086</v>
      </c>
      <c r="AG221" s="4">
        <f t="shared" si="234"/>
        <v>-16.820932406725369</v>
      </c>
      <c r="AH221" s="4">
        <f t="shared" si="235"/>
        <v>108.21755123146824</v>
      </c>
      <c r="AI221" s="4">
        <f t="shared" si="236"/>
        <v>191.21653958992169</v>
      </c>
      <c r="AJ221" s="4">
        <f t="shared" si="237"/>
        <v>-17.747540425067449</v>
      </c>
      <c r="AK221" s="4">
        <f t="shared" si="238"/>
        <v>-868.15298453245032</v>
      </c>
      <c r="AL221" s="4">
        <f t="shared" si="239"/>
        <v>-4722.8887786708428</v>
      </c>
      <c r="AM221" s="4">
        <f t="shared" si="240"/>
        <v>-64.049710822207516</v>
      </c>
      <c r="AN221" s="4">
        <f t="shared" si="241"/>
        <v>398.54623517302065</v>
      </c>
      <c r="AO221" s="4">
        <f t="shared" si="242"/>
        <v>4267.4561714885631</v>
      </c>
      <c r="AP221" s="4">
        <f t="shared" si="243"/>
        <v>12383.390107602023</v>
      </c>
      <c r="AQ221" s="4">
        <f t="shared" si="244"/>
        <v>2.2037811716669683E-2</v>
      </c>
      <c r="AR221" s="4">
        <f t="shared" si="245"/>
        <v>-0.33346322460143391</v>
      </c>
      <c r="AS221" s="4">
        <f t="shared" si="246"/>
        <v>1.4070897642990793E-2</v>
      </c>
      <c r="AT221" s="4">
        <f t="shared" si="247"/>
        <v>3.2975021398188762</v>
      </c>
      <c r="AU221" s="4">
        <f t="shared" si="248"/>
        <v>0.80675574672894979</v>
      </c>
      <c r="AV221" s="4">
        <f t="shared" si="249"/>
        <v>-1.0471720497835993E-2</v>
      </c>
      <c r="AW221" s="4">
        <f t="shared" si="250"/>
        <v>-9.8251393405196801</v>
      </c>
      <c r="AX221" s="4">
        <f t="shared" si="251"/>
        <v>-7.9736633080573345</v>
      </c>
      <c r="AY221" s="4">
        <f t="shared" si="252"/>
        <v>14.076082660065975</v>
      </c>
      <c r="AZ221" s="4">
        <f t="shared" si="253"/>
        <v>78.200136602947453</v>
      </c>
      <c r="BA221" s="4">
        <f t="shared" si="254"/>
        <v>-0.13965402379089084</v>
      </c>
      <c r="BB221" s="4">
        <f t="shared" si="255"/>
        <v>-7.2426441483395463</v>
      </c>
      <c r="BC221" s="4">
        <f t="shared" si="256"/>
        <v>-3.1127844109708098</v>
      </c>
      <c r="BD221" s="4">
        <f t="shared" si="257"/>
        <v>25.179668432412861</v>
      </c>
      <c r="BE221" s="4">
        <f t="shared" si="258"/>
        <v>54.771698938321762</v>
      </c>
      <c r="BF221" s="4">
        <f t="shared" si="259"/>
        <v>-29.782542862605322</v>
      </c>
      <c r="BG221" s="4">
        <f t="shared" si="260"/>
        <v>-8.4871807722076991</v>
      </c>
      <c r="BH221" s="4">
        <f t="shared" si="261"/>
        <v>-110.49897838861854</v>
      </c>
      <c r="BI221" s="4">
        <f t="shared" si="262"/>
        <v>-10.970675529225241</v>
      </c>
      <c r="BJ221" s="4">
        <f t="shared" si="263"/>
        <v>-222.79655587335694</v>
      </c>
      <c r="BK221" s="4">
        <f t="shared" si="264"/>
        <v>7.9948322253481127E-2</v>
      </c>
      <c r="BL221" s="4">
        <f t="shared" si="265"/>
        <v>5.0473024556651431</v>
      </c>
      <c r="BM221" s="4">
        <f t="shared" si="266"/>
        <v>8.9968664967235696</v>
      </c>
      <c r="BN221" s="4">
        <f t="shared" si="267"/>
        <v>-11.745169412566863</v>
      </c>
      <c r="BO221" s="4">
        <f t="shared" si="268"/>
        <v>-93.068335672576453</v>
      </c>
      <c r="BP221" s="4">
        <f t="shared" si="269"/>
        <v>-46.359511686171153</v>
      </c>
      <c r="BQ221" s="4">
        <f t="shared" si="270"/>
        <v>-15.292158640755188</v>
      </c>
      <c r="BR221" s="4">
        <f t="shared" si="271"/>
        <v>66.951019428992055</v>
      </c>
      <c r="BS221" s="4">
        <f t="shared" si="272"/>
        <v>447.90316791757868</v>
      </c>
      <c r="BT221" s="4">
        <f t="shared" si="273"/>
        <v>1443.2824595614336</v>
      </c>
      <c r="BU221" s="4">
        <f t="shared" si="274"/>
        <v>5.913253480765734</v>
      </c>
      <c r="BV221" s="4">
        <f t="shared" si="275"/>
        <v>73.999470126570955</v>
      </c>
      <c r="BW221" s="4">
        <f t="shared" si="276"/>
        <v>-306.64209312745794</v>
      </c>
      <c r="BX221" s="4">
        <f t="shared" si="277"/>
        <v>-1371.393056681304</v>
      </c>
      <c r="BY221" s="4">
        <f t="shared" si="278"/>
        <v>-3186.6005096582653</v>
      </c>
      <c r="BZ221" s="6">
        <f t="shared" si="279"/>
        <v>-1.432437025962372</v>
      </c>
      <c r="CA221" s="7"/>
      <c r="CB221" s="6">
        <v>-1.4324352658636601</v>
      </c>
      <c r="CC221" s="6"/>
    </row>
    <row r="222" spans="1:81" x14ac:dyDescent="0.3">
      <c r="A222" s="4">
        <v>220</v>
      </c>
      <c r="B222" s="4">
        <v>11687726</v>
      </c>
      <c r="C222" s="4">
        <v>1.7490000000000001</v>
      </c>
      <c r="D222" s="4">
        <v>3.4750000000000001</v>
      </c>
      <c r="E222" s="4">
        <v>0.69399999999999995</v>
      </c>
      <c r="F222" s="4">
        <v>3.49</v>
      </c>
      <c r="H222" s="6">
        <v>-2618.81325553337</v>
      </c>
      <c r="I222" s="4">
        <f t="shared" si="210"/>
        <v>81.175990872900002</v>
      </c>
      <c r="J222" s="4">
        <f t="shared" si="211"/>
        <v>-1710.1457069750002</v>
      </c>
      <c r="K222" s="4">
        <f t="shared" si="212"/>
        <v>1643.9656603999997</v>
      </c>
      <c r="L222" s="4">
        <f t="shared" si="213"/>
        <v>11277.9563588</v>
      </c>
      <c r="M222" s="4">
        <f t="shared" si="214"/>
        <v>11.819554112240821</v>
      </c>
      <c r="N222" s="4">
        <f t="shared" si="215"/>
        <v>15.375028069574249</v>
      </c>
      <c r="O222" s="4">
        <f t="shared" si="216"/>
        <v>-83.546398071048003</v>
      </c>
      <c r="P222" s="4">
        <f t="shared" si="217"/>
        <v>-234.04287524078998</v>
      </c>
      <c r="Q222" s="4">
        <f t="shared" si="218"/>
        <v>-144.9190624109375</v>
      </c>
      <c r="R222" s="4">
        <f t="shared" si="219"/>
        <v>436.40395062689998</v>
      </c>
      <c r="S222" s="4">
        <f t="shared" si="220"/>
        <v>5131.3039868842516</v>
      </c>
      <c r="T222" s="4">
        <f t="shared" si="221"/>
        <v>-199.91300418773596</v>
      </c>
      <c r="U222" s="4">
        <f t="shared" si="222"/>
        <v>-4979.7924417386002</v>
      </c>
      <c r="V222" s="4">
        <f t="shared" si="223"/>
        <v>-18108.12665577</v>
      </c>
      <c r="W222" s="4">
        <f t="shared" si="224"/>
        <v>-0.1936072912532443</v>
      </c>
      <c r="X222" s="4">
        <f t="shared" si="225"/>
        <v>1.4104798651678905</v>
      </c>
      <c r="Y222" s="4">
        <f t="shared" si="226"/>
        <v>1.2627019338481222</v>
      </c>
      <c r="Z222" s="4">
        <f t="shared" si="227"/>
        <v>-27.99941735622172</v>
      </c>
      <c r="AA222" s="4">
        <f t="shared" si="228"/>
        <v>4.9070398207331118</v>
      </c>
      <c r="AB222" s="4">
        <f t="shared" si="229"/>
        <v>-45.452003003780185</v>
      </c>
      <c r="AC222" s="4">
        <f t="shared" si="230"/>
        <v>0.7361826526194889</v>
      </c>
      <c r="AD222" s="4">
        <f t="shared" si="231"/>
        <v>69.11580235342376</v>
      </c>
      <c r="AE222" s="4">
        <f t="shared" si="232"/>
        <v>84.335278346549813</v>
      </c>
      <c r="AF222" s="4">
        <f t="shared" si="233"/>
        <v>254.47818280587026</v>
      </c>
      <c r="AG222" s="4">
        <f t="shared" si="234"/>
        <v>-18.166401252835691</v>
      </c>
      <c r="AH222" s="4">
        <f t="shared" si="235"/>
        <v>132.42258648568074</v>
      </c>
      <c r="AI222" s="4">
        <f t="shared" si="236"/>
        <v>203.14452272102409</v>
      </c>
      <c r="AJ222" s="4">
        <f t="shared" si="237"/>
        <v>-24.606399173820876</v>
      </c>
      <c r="AK222" s="4">
        <f t="shared" si="238"/>
        <v>-1045.0124203599021</v>
      </c>
      <c r="AL222" s="4">
        <f t="shared" si="239"/>
        <v>-4935.6937714106707</v>
      </c>
      <c r="AM222" s="4">
        <f t="shared" si="240"/>
        <v>-100.61728427630817</v>
      </c>
      <c r="AN222" s="4">
        <f t="shared" si="241"/>
        <v>543.56242517898045</v>
      </c>
      <c r="AO222" s="4">
        <f t="shared" si="242"/>
        <v>5053.06732683869</v>
      </c>
      <c r="AP222" s="4">
        <f t="shared" si="243"/>
        <v>12730.365375438636</v>
      </c>
      <c r="AQ222" s="4">
        <f t="shared" si="244"/>
        <v>6.9056984184096763E-4</v>
      </c>
      <c r="AR222" s="4">
        <f t="shared" si="245"/>
        <v>-2.5481026100012252E-2</v>
      </c>
      <c r="AS222" s="4">
        <f t="shared" si="246"/>
        <v>1.2182496578259656E-3</v>
      </c>
      <c r="AT222" s="4">
        <f t="shared" si="247"/>
        <v>0.24786481327161025</v>
      </c>
      <c r="AU222" s="4">
        <f t="shared" si="248"/>
        <v>0.15032834013586899</v>
      </c>
      <c r="AV222" s="4">
        <f t="shared" si="249"/>
        <v>-2.2108657074413913E-3</v>
      </c>
      <c r="AW222" s="4">
        <f t="shared" si="250"/>
        <v>-1.8009362445910126</v>
      </c>
      <c r="AX222" s="4">
        <f t="shared" si="251"/>
        <v>-1.9074261924925937</v>
      </c>
      <c r="AY222" s="4">
        <f t="shared" si="252"/>
        <v>2.9233913379202541</v>
      </c>
      <c r="AZ222" s="4">
        <f t="shared" si="253"/>
        <v>14.100287169795712</v>
      </c>
      <c r="BA222" s="4">
        <f t="shared" si="254"/>
        <v>-6.345737094012717E-2</v>
      </c>
      <c r="BB222" s="4">
        <f t="shared" si="255"/>
        <v>-3.7288189451425553</v>
      </c>
      <c r="BC222" s="4">
        <f t="shared" si="256"/>
        <v>-1.3913567214668547</v>
      </c>
      <c r="BD222" s="4">
        <f t="shared" si="257"/>
        <v>14.688237388378699</v>
      </c>
      <c r="BE222" s="4">
        <f t="shared" si="258"/>
        <v>27.739024677303135</v>
      </c>
      <c r="BF222" s="4">
        <f t="shared" si="259"/>
        <v>-13.095197379434884</v>
      </c>
      <c r="BG222" s="4">
        <f t="shared" si="260"/>
        <v>-5.6095581638677885</v>
      </c>
      <c r="BH222" s="4">
        <f t="shared" si="261"/>
        <v>-63.407227572426294</v>
      </c>
      <c r="BI222" s="4">
        <f t="shared" si="262"/>
        <v>-5.4654908404770106</v>
      </c>
      <c r="BJ222" s="4">
        <f t="shared" si="263"/>
        <v>-96.365054641880477</v>
      </c>
      <c r="BK222" s="4">
        <f t="shared" si="264"/>
        <v>8.8586553066768783E-2</v>
      </c>
      <c r="BL222" s="4">
        <f t="shared" si="265"/>
        <v>6.3367023307909536</v>
      </c>
      <c r="BM222" s="4">
        <f t="shared" si="266"/>
        <v>9.8064213821779553</v>
      </c>
      <c r="BN222" s="4">
        <f t="shared" si="267"/>
        <v>-16.707396855283548</v>
      </c>
      <c r="BO222" s="4">
        <f t="shared" si="268"/>
        <v>-114.93882403809224</v>
      </c>
      <c r="BP222" s="4">
        <f t="shared" si="269"/>
        <v>-49.70716032244993</v>
      </c>
      <c r="BQ222" s="4">
        <f t="shared" si="270"/>
        <v>-24.646986374576056</v>
      </c>
      <c r="BR222" s="4">
        <f t="shared" si="271"/>
        <v>93.684452511599133</v>
      </c>
      <c r="BS222" s="4">
        <f t="shared" si="272"/>
        <v>544.13888425614459</v>
      </c>
      <c r="BT222" s="4">
        <f t="shared" si="273"/>
        <v>1522.272002520526</v>
      </c>
      <c r="BU222" s="4">
        <f t="shared" si="274"/>
        <v>10.798590029275667</v>
      </c>
      <c r="BV222" s="4">
        <f t="shared" si="275"/>
        <v>117.32335292602943</v>
      </c>
      <c r="BW222" s="4">
        <f t="shared" si="276"/>
        <v>-422.08792237418226</v>
      </c>
      <c r="BX222" s="4">
        <f t="shared" si="277"/>
        <v>-1638.8846956947434</v>
      </c>
      <c r="BY222" s="4">
        <f t="shared" si="278"/>
        <v>-3306.2019168968986</v>
      </c>
      <c r="BZ222" s="6">
        <f t="shared" si="279"/>
        <v>-1.9693533100230525</v>
      </c>
      <c r="CA222" s="7"/>
      <c r="CB222" s="6">
        <v>-1.969351048516728</v>
      </c>
      <c r="CC222" s="6"/>
    </row>
    <row r="223" spans="1:81" x14ac:dyDescent="0.3">
      <c r="A223" s="4">
        <v>221</v>
      </c>
      <c r="B223" s="4">
        <v>46886826</v>
      </c>
      <c r="C223" s="4">
        <v>4.8330000000000002</v>
      </c>
      <c r="D223" s="4">
        <v>3.6360000000000001</v>
      </c>
      <c r="E223" s="4">
        <v>0.90600000000000003</v>
      </c>
      <c r="F223" s="4">
        <v>2.7429999999999999</v>
      </c>
      <c r="H223" s="6">
        <v>-2618.81325553337</v>
      </c>
      <c r="I223" s="4">
        <f t="shared" si="210"/>
        <v>224.31307254930002</v>
      </c>
      <c r="J223" s="4">
        <f t="shared" si="211"/>
        <v>-1789.3783569960001</v>
      </c>
      <c r="K223" s="4">
        <f t="shared" si="212"/>
        <v>2146.1568996000001</v>
      </c>
      <c r="L223" s="4">
        <f t="shared" si="213"/>
        <v>8864.0212871599997</v>
      </c>
      <c r="M223" s="4">
        <f t="shared" si="214"/>
        <v>90.251632145008983</v>
      </c>
      <c r="N223" s="4">
        <f t="shared" si="215"/>
        <v>44.454114994496763</v>
      </c>
      <c r="O223" s="4">
        <f t="shared" si="216"/>
        <v>-301.38625623938401</v>
      </c>
      <c r="P223" s="4">
        <f t="shared" si="217"/>
        <v>-508.30313836220091</v>
      </c>
      <c r="Q223" s="4">
        <f t="shared" si="218"/>
        <v>-158.65861062492002</v>
      </c>
      <c r="R223" s="4">
        <f t="shared" si="219"/>
        <v>596.11008090657594</v>
      </c>
      <c r="S223" s="4">
        <f t="shared" si="220"/>
        <v>4219.8517132841162</v>
      </c>
      <c r="T223" s="4">
        <f t="shared" si="221"/>
        <v>-340.70499444693598</v>
      </c>
      <c r="U223" s="4">
        <f t="shared" si="222"/>
        <v>-5109.5228957689806</v>
      </c>
      <c r="V223" s="4">
        <f t="shared" si="223"/>
        <v>-11185.986342987298</v>
      </c>
      <c r="W223" s="4">
        <f t="shared" si="224"/>
        <v>-4.0850997518144814</v>
      </c>
      <c r="X223" s="4">
        <f t="shared" si="225"/>
        <v>11.26911803638977</v>
      </c>
      <c r="Y223" s="4">
        <f t="shared" si="226"/>
        <v>12.587038023614294</v>
      </c>
      <c r="Z223" s="4">
        <f t="shared" si="227"/>
        <v>-168.03639126972513</v>
      </c>
      <c r="AA223" s="4">
        <f t="shared" si="228"/>
        <v>14.845153726260582</v>
      </c>
      <c r="AB223" s="4">
        <f t="shared" si="229"/>
        <v>-171.56069827722644</v>
      </c>
      <c r="AC223" s="4">
        <f t="shared" si="230"/>
        <v>1.6729463412913861</v>
      </c>
      <c r="AD223" s="4">
        <f t="shared" si="231"/>
        <v>325.49310567748836</v>
      </c>
      <c r="AE223" s="4">
        <f t="shared" si="232"/>
        <v>239.11420459516182</v>
      </c>
      <c r="AF223" s="4">
        <f t="shared" si="233"/>
        <v>434.38848259760965</v>
      </c>
      <c r="AG223" s="4">
        <f t="shared" si="234"/>
        <v>-20.810192585966508</v>
      </c>
      <c r="AH223" s="4">
        <f t="shared" si="235"/>
        <v>189.26439671205119</v>
      </c>
      <c r="AI223" s="4">
        <f t="shared" si="236"/>
        <v>174.800885790678</v>
      </c>
      <c r="AJ223" s="4">
        <f t="shared" si="237"/>
        <v>-43.878784149941644</v>
      </c>
      <c r="AK223" s="4">
        <f t="shared" si="238"/>
        <v>-1121.9141504624938</v>
      </c>
      <c r="AL223" s="4">
        <f t="shared" si="239"/>
        <v>-3190.2009024292411</v>
      </c>
      <c r="AM223" s="4">
        <f t="shared" si="240"/>
        <v>-223.86117189825822</v>
      </c>
      <c r="AN223" s="4">
        <f t="shared" si="241"/>
        <v>728.09368238631066</v>
      </c>
      <c r="AO223" s="4">
        <f t="shared" si="242"/>
        <v>4074.9714778649295</v>
      </c>
      <c r="AP223" s="4">
        <f t="shared" si="243"/>
        <v>6180.7618545113401</v>
      </c>
      <c r="AQ223" s="4">
        <f t="shared" si="244"/>
        <v>4.026387330343164E-2</v>
      </c>
      <c r="AR223" s="4">
        <f t="shared" si="245"/>
        <v>-0.56255752103722356</v>
      </c>
      <c r="AS223" s="4">
        <f t="shared" si="246"/>
        <v>3.3557220551216321E-2</v>
      </c>
      <c r="AT223" s="4">
        <f t="shared" si="247"/>
        <v>4.1105148035499024</v>
      </c>
      <c r="AU223" s="4">
        <f t="shared" si="248"/>
        <v>1.2567039055003681</v>
      </c>
      <c r="AV223" s="4">
        <f t="shared" si="249"/>
        <v>-2.305972520247004E-2</v>
      </c>
      <c r="AW223" s="4">
        <f t="shared" si="250"/>
        <v>-11.308936255481393</v>
      </c>
      <c r="AX223" s="4">
        <f t="shared" si="251"/>
        <v>-24.822136971304271</v>
      </c>
      <c r="AY223" s="4">
        <f t="shared" si="252"/>
        <v>22.903931438983655</v>
      </c>
      <c r="AZ223" s="4">
        <f t="shared" si="253"/>
        <v>66.509347983571217</v>
      </c>
      <c r="BA223" s="4">
        <f t="shared" si="254"/>
        <v>-0.2008705449124123</v>
      </c>
      <c r="BB223" s="4">
        <f t="shared" si="255"/>
        <v>-14.72668985323971</v>
      </c>
      <c r="BC223" s="4">
        <f t="shared" si="256"/>
        <v>-3.308293167022101</v>
      </c>
      <c r="BD223" s="4">
        <f t="shared" si="257"/>
        <v>72.37743510612637</v>
      </c>
      <c r="BE223" s="4">
        <f t="shared" si="258"/>
        <v>82.291759100804214</v>
      </c>
      <c r="BF223" s="4">
        <f t="shared" si="259"/>
        <v>-23.388849608511528</v>
      </c>
      <c r="BG223" s="4">
        <f t="shared" si="260"/>
        <v>-34.487508678978315</v>
      </c>
      <c r="BH223" s="4">
        <f t="shared" si="261"/>
        <v>-234.69486371565606</v>
      </c>
      <c r="BI223" s="4">
        <f t="shared" si="262"/>
        <v>-12.179393017923097</v>
      </c>
      <c r="BJ223" s="4">
        <f t="shared" si="263"/>
        <v>-129.2848689650146</v>
      </c>
      <c r="BK223" s="4">
        <f t="shared" si="264"/>
        <v>0.10618032882675654</v>
      </c>
      <c r="BL223" s="4">
        <f t="shared" si="265"/>
        <v>9.4763093696021823</v>
      </c>
      <c r="BM223" s="4">
        <f t="shared" si="266"/>
        <v>8.8291344127921612</v>
      </c>
      <c r="BN223" s="4">
        <f t="shared" si="267"/>
        <v>-31.1734145087947</v>
      </c>
      <c r="BO223" s="4">
        <f t="shared" si="268"/>
        <v>-129.11419402845237</v>
      </c>
      <c r="BP223" s="4">
        <f t="shared" si="269"/>
        <v>-33.616914218920343</v>
      </c>
      <c r="BQ223" s="4">
        <f t="shared" si="270"/>
        <v>-57.37716318910077</v>
      </c>
      <c r="BR223" s="4">
        <f t="shared" si="271"/>
        <v>131.30293194972631</v>
      </c>
      <c r="BS223" s="4">
        <f t="shared" si="272"/>
        <v>459.14336830144737</v>
      </c>
      <c r="BT223" s="4">
        <f t="shared" si="273"/>
        <v>773.32574299615624</v>
      </c>
      <c r="BU223" s="4">
        <f t="shared" si="274"/>
        <v>31.364759536712914</v>
      </c>
      <c r="BV223" s="4">
        <f t="shared" si="275"/>
        <v>205.15921482365903</v>
      </c>
      <c r="BW223" s="4">
        <f t="shared" si="276"/>
        <v>-444.3663264135339</v>
      </c>
      <c r="BX223" s="4">
        <f t="shared" si="277"/>
        <v>-1038.767297886063</v>
      </c>
      <c r="BY223" s="4">
        <f t="shared" si="278"/>
        <v>-1261.6267710865538</v>
      </c>
      <c r="BZ223" s="6">
        <f t="shared" si="279"/>
        <v>-1.4790490855216376</v>
      </c>
      <c r="CA223" s="7"/>
      <c r="CB223" s="6">
        <v>-1.4790495706338329</v>
      </c>
      <c r="CC223" s="6"/>
    </row>
    <row r="224" spans="1:81" x14ac:dyDescent="0.3">
      <c r="A224" s="4">
        <v>222</v>
      </c>
      <c r="B224" s="4">
        <v>46886827</v>
      </c>
      <c r="C224" s="4">
        <v>4.8330000000000002</v>
      </c>
      <c r="D224" s="4">
        <v>4.4320000000000004</v>
      </c>
      <c r="E224" s="4">
        <v>0.95299999999999996</v>
      </c>
      <c r="F224" s="4">
        <v>3.0550000000000002</v>
      </c>
      <c r="H224" s="6">
        <v>-2618.81325553337</v>
      </c>
      <c r="I224" s="4">
        <f t="shared" si="210"/>
        <v>224.31307254930002</v>
      </c>
      <c r="J224" s="4">
        <f t="shared" si="211"/>
        <v>-2181.1124527520001</v>
      </c>
      <c r="K224" s="4">
        <f t="shared" si="212"/>
        <v>2257.4917498</v>
      </c>
      <c r="L224" s="4">
        <f t="shared" si="213"/>
        <v>9872.2511966000002</v>
      </c>
      <c r="M224" s="4">
        <f t="shared" si="214"/>
        <v>90.251632145008983</v>
      </c>
      <c r="N224" s="4">
        <f t="shared" si="215"/>
        <v>54.186093964689128</v>
      </c>
      <c r="O224" s="4">
        <f t="shared" si="216"/>
        <v>-317.021084101692</v>
      </c>
      <c r="P224" s="4">
        <f t="shared" si="217"/>
        <v>-566.11960907638502</v>
      </c>
      <c r="Q224" s="4">
        <f t="shared" si="218"/>
        <v>-235.73029581248005</v>
      </c>
      <c r="R224" s="4">
        <f t="shared" si="219"/>
        <v>764.30560846185597</v>
      </c>
      <c r="S224" s="4">
        <f t="shared" si="220"/>
        <v>5728.7315841319214</v>
      </c>
      <c r="T224" s="4">
        <f t="shared" si="221"/>
        <v>-376.97096898973393</v>
      </c>
      <c r="U224" s="4">
        <f t="shared" si="222"/>
        <v>-5985.913813763651</v>
      </c>
      <c r="V224" s="4">
        <f t="shared" si="223"/>
        <v>-13875.386801542501</v>
      </c>
      <c r="W224" s="4">
        <f t="shared" si="224"/>
        <v>-4.0850997518144814</v>
      </c>
      <c r="X224" s="4">
        <f t="shared" si="225"/>
        <v>13.736174680219873</v>
      </c>
      <c r="Y224" s="4">
        <f t="shared" si="226"/>
        <v>13.240007987311724</v>
      </c>
      <c r="Z224" s="4">
        <f t="shared" si="227"/>
        <v>-187.14953530040478</v>
      </c>
      <c r="AA224" s="4">
        <f t="shared" si="228"/>
        <v>22.056492651042412</v>
      </c>
      <c r="AB224" s="4">
        <f t="shared" si="229"/>
        <v>-219.96743233313427</v>
      </c>
      <c r="AC224" s="4">
        <f t="shared" si="230"/>
        <v>2.2711368064768385</v>
      </c>
      <c r="AD224" s="4">
        <f t="shared" si="231"/>
        <v>360.13986717717785</v>
      </c>
      <c r="AE224" s="4">
        <f t="shared" si="232"/>
        <v>280.12733273756561</v>
      </c>
      <c r="AF224" s="4">
        <f t="shared" si="233"/>
        <v>538.82670989988981</v>
      </c>
      <c r="AG224" s="4">
        <f t="shared" si="234"/>
        <v>-37.688055508647899</v>
      </c>
      <c r="AH224" s="4">
        <f t="shared" si="235"/>
        <v>295.7912904371135</v>
      </c>
      <c r="AI224" s="4">
        <f t="shared" si="236"/>
        <v>289.25494376290226</v>
      </c>
      <c r="AJ224" s="4">
        <f t="shared" si="237"/>
        <v>-59.177943405197091</v>
      </c>
      <c r="AK224" s="4">
        <f t="shared" si="238"/>
        <v>-1602.0852161654955</v>
      </c>
      <c r="AL224" s="4">
        <f t="shared" si="239"/>
        <v>-4823.5271200558427</v>
      </c>
      <c r="AM224" s="4">
        <f t="shared" si="240"/>
        <v>-260.53908393572021</v>
      </c>
      <c r="AN224" s="4">
        <f t="shared" si="241"/>
        <v>897.22646577935348</v>
      </c>
      <c r="AO224" s="4">
        <f t="shared" si="242"/>
        <v>5316.9195639508835</v>
      </c>
      <c r="AP224" s="4">
        <f t="shared" si="243"/>
        <v>8538.8273293274524</v>
      </c>
      <c r="AQ224" s="4">
        <f t="shared" si="244"/>
        <v>4.026387330343164E-2</v>
      </c>
      <c r="AR224" s="4">
        <f t="shared" si="245"/>
        <v>-0.68571367800796901</v>
      </c>
      <c r="AS224" s="4">
        <f t="shared" si="246"/>
        <v>3.5298047665904143E-2</v>
      </c>
      <c r="AT224" s="4">
        <f t="shared" si="247"/>
        <v>4.5780615110626881</v>
      </c>
      <c r="AU224" s="4">
        <f t="shared" si="248"/>
        <v>1.8671736896312567</v>
      </c>
      <c r="AV224" s="4">
        <f t="shared" si="249"/>
        <v>-2.9566145358644332E-2</v>
      </c>
      <c r="AW224" s="4">
        <f t="shared" si="250"/>
        <v>-15.352639076336404</v>
      </c>
      <c r="AX224" s="4">
        <f t="shared" si="251"/>
        <v>-27.464302487429009</v>
      </c>
      <c r="AY224" s="4">
        <f t="shared" si="252"/>
        <v>26.832438641900676</v>
      </c>
      <c r="AZ224" s="4">
        <f t="shared" si="253"/>
        <v>82.499915599216564</v>
      </c>
      <c r="BA224" s="4">
        <f t="shared" si="254"/>
        <v>-0.36378424733159409</v>
      </c>
      <c r="BB224" s="4">
        <f t="shared" si="255"/>
        <v>-23.015562732510244</v>
      </c>
      <c r="BC224" s="4">
        <f t="shared" si="256"/>
        <v>-5.4744582651834861</v>
      </c>
      <c r="BD224" s="4">
        <f t="shared" si="257"/>
        <v>97.613182349980121</v>
      </c>
      <c r="BE224" s="4">
        <f t="shared" si="258"/>
        <v>117.51203121317459</v>
      </c>
      <c r="BF224" s="4">
        <f t="shared" si="259"/>
        <v>-35.363525321448037</v>
      </c>
      <c r="BG224" s="4">
        <f t="shared" si="260"/>
        <v>-40.138018765174365</v>
      </c>
      <c r="BH224" s="4">
        <f t="shared" si="261"/>
        <v>-289.21339135646957</v>
      </c>
      <c r="BI224" s="4">
        <f t="shared" si="262"/>
        <v>-15.891363501756652</v>
      </c>
      <c r="BJ224" s="4">
        <f t="shared" si="263"/>
        <v>-178.60923917999176</v>
      </c>
      <c r="BK224" s="4">
        <f t="shared" si="264"/>
        <v>0.23439458515233635</v>
      </c>
      <c r="BL224" s="4">
        <f t="shared" si="265"/>
        <v>18.05225938200768</v>
      </c>
      <c r="BM224" s="4">
        <f t="shared" si="266"/>
        <v>17.808656901841527</v>
      </c>
      <c r="BN224" s="4">
        <f t="shared" si="267"/>
        <v>-51.246656351976149</v>
      </c>
      <c r="BO224" s="4">
        <f t="shared" si="268"/>
        <v>-224.73765909043755</v>
      </c>
      <c r="BP224" s="4">
        <f t="shared" si="269"/>
        <v>-61.955578179524267</v>
      </c>
      <c r="BQ224" s="4">
        <f t="shared" si="270"/>
        <v>-81.397123640769777</v>
      </c>
      <c r="BR224" s="4">
        <f t="shared" si="271"/>
        <v>197.22643013423377</v>
      </c>
      <c r="BS224" s="4">
        <f t="shared" si="272"/>
        <v>730.23006542534529</v>
      </c>
      <c r="BT224" s="4">
        <f t="shared" si="273"/>
        <v>1302.2505982038165</v>
      </c>
      <c r="BU224" s="4">
        <f t="shared" si="274"/>
        <v>38.3973077075105</v>
      </c>
      <c r="BV224" s="4">
        <f t="shared" si="275"/>
        <v>265.9319659264911</v>
      </c>
      <c r="BW224" s="4">
        <f t="shared" si="276"/>
        <v>-609.87574415182235</v>
      </c>
      <c r="BX224" s="4">
        <f t="shared" si="277"/>
        <v>-1509.5211166903873</v>
      </c>
      <c r="BY224" s="4">
        <f t="shared" si="278"/>
        <v>-1941.2100176139209</v>
      </c>
      <c r="BZ224" s="6">
        <f t="shared" si="279"/>
        <v>-1.7749324614098896</v>
      </c>
      <c r="CA224" s="7"/>
      <c r="CB224" s="6">
        <v>-1.7749341154626559</v>
      </c>
      <c r="CC224" s="6"/>
    </row>
    <row r="225" spans="1:81" x14ac:dyDescent="0.3">
      <c r="A225" s="4">
        <v>223</v>
      </c>
      <c r="B225" s="4">
        <v>24850675</v>
      </c>
      <c r="C225" s="4">
        <v>4.1130000000000004</v>
      </c>
      <c r="D225" s="4">
        <v>4.5940000000000003</v>
      </c>
      <c r="E225" s="4">
        <v>0.89100000000000001</v>
      </c>
      <c r="F225" s="4">
        <v>2.8479999999999999</v>
      </c>
      <c r="H225" s="6">
        <v>-2618.81325553337</v>
      </c>
      <c r="I225" s="4">
        <f t="shared" si="210"/>
        <v>190.89585503730001</v>
      </c>
      <c r="J225" s="4">
        <f t="shared" si="211"/>
        <v>-2260.8372310340001</v>
      </c>
      <c r="K225" s="4">
        <f t="shared" si="212"/>
        <v>2110.6245005999999</v>
      </c>
      <c r="L225" s="4">
        <f t="shared" si="213"/>
        <v>9203.3294297600005</v>
      </c>
      <c r="M225" s="4">
        <f t="shared" si="214"/>
        <v>65.36404094009059</v>
      </c>
      <c r="N225" s="4">
        <f t="shared" si="215"/>
        <v>47.799240861668942</v>
      </c>
      <c r="O225" s="4">
        <f t="shared" si="216"/>
        <v>-252.24052667576399</v>
      </c>
      <c r="P225" s="4">
        <f t="shared" si="217"/>
        <v>-449.137050729696</v>
      </c>
      <c r="Q225" s="4">
        <f t="shared" si="218"/>
        <v>-253.27823988047004</v>
      </c>
      <c r="R225" s="4">
        <f t="shared" si="219"/>
        <v>740.70126947084395</v>
      </c>
      <c r="S225" s="4">
        <f t="shared" si="220"/>
        <v>5535.7756837703046</v>
      </c>
      <c r="T225" s="4">
        <f t="shared" si="221"/>
        <v>-329.51676302760603</v>
      </c>
      <c r="U225" s="4">
        <f t="shared" si="222"/>
        <v>-5217.2786581660803</v>
      </c>
      <c r="V225" s="4">
        <f t="shared" si="223"/>
        <v>-12058.759661260798</v>
      </c>
      <c r="W225" s="4">
        <f t="shared" si="224"/>
        <v>-2.5178416242829673</v>
      </c>
      <c r="X225" s="4">
        <f t="shared" si="225"/>
        <v>10.31195176505433</v>
      </c>
      <c r="Y225" s="4">
        <f t="shared" si="226"/>
        <v>8.9651359401061388</v>
      </c>
      <c r="Z225" s="4">
        <f t="shared" si="227"/>
        <v>-126.35759527551323</v>
      </c>
      <c r="AA225" s="4">
        <f t="shared" si="228"/>
        <v>20.167907751548853</v>
      </c>
      <c r="AB225" s="4">
        <f t="shared" si="229"/>
        <v>-181.41631546648296</v>
      </c>
      <c r="AC225" s="4">
        <f t="shared" si="230"/>
        <v>1.8676918320759139</v>
      </c>
      <c r="AD225" s="4">
        <f t="shared" si="231"/>
        <v>267.9061733981016</v>
      </c>
      <c r="AE225" s="4">
        <f t="shared" si="232"/>
        <v>207.78346020164173</v>
      </c>
      <c r="AF225" s="4">
        <f t="shared" si="233"/>
        <v>398.51857701044401</v>
      </c>
      <c r="AG225" s="4">
        <f t="shared" si="234"/>
        <v>-41.973718763974418</v>
      </c>
      <c r="AH225" s="4">
        <f t="shared" si="235"/>
        <v>297.13421503791034</v>
      </c>
      <c r="AI225" s="4">
        <f t="shared" si="236"/>
        <v>289.72904775832905</v>
      </c>
      <c r="AJ225" s="4">
        <f t="shared" si="237"/>
        <v>-53.619247421668852</v>
      </c>
      <c r="AK225" s="4">
        <f t="shared" si="238"/>
        <v>-1447.4061904817686</v>
      </c>
      <c r="AL225" s="4">
        <f t="shared" si="239"/>
        <v>-4345.2373566894976</v>
      </c>
      <c r="AM225" s="4">
        <f t="shared" si="240"/>
        <v>-212.92531186386753</v>
      </c>
      <c r="AN225" s="4">
        <f t="shared" si="241"/>
        <v>731.13984579069233</v>
      </c>
      <c r="AO225" s="4">
        <f t="shared" si="242"/>
        <v>4320.1858924404451</v>
      </c>
      <c r="AP225" s="4">
        <f t="shared" si="243"/>
        <v>6918.0634768733635</v>
      </c>
      <c r="AQ225" s="4">
        <f t="shared" si="244"/>
        <v>2.1119479388407168E-2</v>
      </c>
      <c r="AR225" s="4">
        <f t="shared" si="245"/>
        <v>-0.4380864238243099</v>
      </c>
      <c r="AS225" s="4">
        <f t="shared" si="246"/>
        <v>2.0340481613111448E-2</v>
      </c>
      <c r="AT225" s="4">
        <f t="shared" si="247"/>
        <v>2.630486862168798</v>
      </c>
      <c r="AU225" s="4">
        <f t="shared" si="248"/>
        <v>1.4529511937691793</v>
      </c>
      <c r="AV225" s="4">
        <f t="shared" si="249"/>
        <v>-2.0751742940636742E-2</v>
      </c>
      <c r="AW225" s="4">
        <f t="shared" si="250"/>
        <v>-10.744516533981798</v>
      </c>
      <c r="AX225" s="4">
        <f t="shared" si="251"/>
        <v>-17.386894111999396</v>
      </c>
      <c r="AY225" s="4">
        <f t="shared" si="252"/>
        <v>16.937821333442617</v>
      </c>
      <c r="AZ225" s="4">
        <f t="shared" si="253"/>
        <v>51.927196222687613</v>
      </c>
      <c r="BA225" s="4">
        <f t="shared" si="254"/>
        <v>-0.34479385808235952</v>
      </c>
      <c r="BB225" s="4">
        <f t="shared" si="255"/>
        <v>-19.675727264349788</v>
      </c>
      <c r="BC225" s="4">
        <f t="shared" si="256"/>
        <v>-4.6665326877347733</v>
      </c>
      <c r="BD225" s="4">
        <f t="shared" si="257"/>
        <v>75.268148317090038</v>
      </c>
      <c r="BE225" s="4">
        <f t="shared" si="258"/>
        <v>90.350187978592331</v>
      </c>
      <c r="BF225" s="4">
        <f t="shared" si="259"/>
        <v>-27.111044306902485</v>
      </c>
      <c r="BG225" s="4">
        <f t="shared" si="260"/>
        <v>-27.91594000057043</v>
      </c>
      <c r="BH225" s="4">
        <f t="shared" si="261"/>
        <v>-200.56663566464536</v>
      </c>
      <c r="BI225" s="4">
        <f t="shared" si="262"/>
        <v>-10.988677315522246</v>
      </c>
      <c r="BJ225" s="4">
        <f t="shared" si="263"/>
        <v>-123.14935627602546</v>
      </c>
      <c r="BK225" s="4">
        <f t="shared" si="264"/>
        <v>0.27059049131042534</v>
      </c>
      <c r="BL225" s="4">
        <f t="shared" si="265"/>
        <v>18.797066844350287</v>
      </c>
      <c r="BM225" s="4">
        <f t="shared" si="266"/>
        <v>18.489861359998162</v>
      </c>
      <c r="BN225" s="4">
        <f t="shared" si="267"/>
        <v>-48.130194827725106</v>
      </c>
      <c r="BO225" s="4">
        <f t="shared" si="268"/>
        <v>-210.46113341867357</v>
      </c>
      <c r="BP225" s="4">
        <f t="shared" si="269"/>
        <v>-57.85227384651607</v>
      </c>
      <c r="BQ225" s="4">
        <f t="shared" si="270"/>
        <v>-68.953244746690075</v>
      </c>
      <c r="BR225" s="4">
        <f t="shared" si="271"/>
        <v>166.59222560683367</v>
      </c>
      <c r="BS225" s="4">
        <f t="shared" si="272"/>
        <v>615.02574154317233</v>
      </c>
      <c r="BT225" s="4">
        <f t="shared" si="273"/>
        <v>1093.6342829044002</v>
      </c>
      <c r="BU225" s="4">
        <f t="shared" si="274"/>
        <v>29.338640647787024</v>
      </c>
      <c r="BV225" s="4">
        <f t="shared" si="275"/>
        <v>202.60666350920292</v>
      </c>
      <c r="BW225" s="4">
        <f t="shared" si="276"/>
        <v>-463.30662309192024</v>
      </c>
      <c r="BX225" s="4">
        <f t="shared" si="277"/>
        <v>-1143.4319081766446</v>
      </c>
      <c r="BY225" s="4">
        <f t="shared" si="278"/>
        <v>-1466.1810611573594</v>
      </c>
      <c r="BZ225" s="6">
        <f t="shared" si="279"/>
        <v>-3.013638331223774</v>
      </c>
      <c r="CA225" s="7"/>
      <c r="CB225" s="6">
        <v>-3.0136396563884769</v>
      </c>
      <c r="CC225" s="6"/>
    </row>
    <row r="226" spans="1:81" x14ac:dyDescent="0.3">
      <c r="A226" s="4">
        <v>224</v>
      </c>
      <c r="B226" s="4">
        <v>57391504</v>
      </c>
      <c r="C226" s="4">
        <v>2.19</v>
      </c>
      <c r="D226" s="4">
        <v>3.3359999999999999</v>
      </c>
      <c r="E226" s="4">
        <v>0.72199999999999998</v>
      </c>
      <c r="F226" s="4">
        <v>3.3780000000000001</v>
      </c>
      <c r="H226" s="6">
        <v>-2618.81325553337</v>
      </c>
      <c r="I226" s="4">
        <f t="shared" si="210"/>
        <v>101.644036599</v>
      </c>
      <c r="J226" s="4">
        <f t="shared" si="211"/>
        <v>-1641.739878696</v>
      </c>
      <c r="K226" s="4">
        <f t="shared" si="212"/>
        <v>1710.2928051999997</v>
      </c>
      <c r="L226" s="4">
        <f t="shared" si="213"/>
        <v>10916.02767336</v>
      </c>
      <c r="M226" s="4">
        <f t="shared" si="214"/>
        <v>18.531462878801999</v>
      </c>
      <c r="N226" s="4">
        <f t="shared" si="215"/>
        <v>18.481680396496795</v>
      </c>
      <c r="O226" s="4">
        <f t="shared" si="216"/>
        <v>-108.83279016743998</v>
      </c>
      <c r="P226" s="4">
        <f t="shared" si="217"/>
        <v>-283.65075799578</v>
      </c>
      <c r="Q226" s="4">
        <f t="shared" si="218"/>
        <v>-133.55740791791999</v>
      </c>
      <c r="R226" s="4">
        <f t="shared" si="219"/>
        <v>435.85058538691192</v>
      </c>
      <c r="S226" s="4">
        <f t="shared" si="220"/>
        <v>4767.9664965579359</v>
      </c>
      <c r="T226" s="4">
        <f t="shared" si="221"/>
        <v>-216.36972833218397</v>
      </c>
      <c r="U226" s="4">
        <f t="shared" si="222"/>
        <v>-5014.4486358039603</v>
      </c>
      <c r="V226" s="4">
        <f t="shared" si="223"/>
        <v>-16964.534997766801</v>
      </c>
      <c r="W226" s="4">
        <f t="shared" si="224"/>
        <v>-0.38008840824652501</v>
      </c>
      <c r="X226" s="4">
        <f t="shared" si="225"/>
        <v>2.1229840663924104</v>
      </c>
      <c r="Y226" s="4">
        <f t="shared" si="226"/>
        <v>2.0596203937651589</v>
      </c>
      <c r="Z226" s="4">
        <f t="shared" si="227"/>
        <v>-42.490498193104699</v>
      </c>
      <c r="AA226" s="4">
        <f t="shared" si="228"/>
        <v>5.6626061168352892</v>
      </c>
      <c r="AB226" s="4">
        <f t="shared" si="229"/>
        <v>-56.840290940345028</v>
      </c>
      <c r="AC226" s="4">
        <f t="shared" si="230"/>
        <v>0.85653543836812951</v>
      </c>
      <c r="AD226" s="4">
        <f t="shared" si="231"/>
        <v>93.667108466165828</v>
      </c>
      <c r="AE226" s="4">
        <f t="shared" si="232"/>
        <v>106.33482811656853</v>
      </c>
      <c r="AF226" s="4">
        <f t="shared" si="233"/>
        <v>298.5199064060983</v>
      </c>
      <c r="AG226" s="4">
        <f t="shared" si="234"/>
        <v>-16.072469178828833</v>
      </c>
      <c r="AH226" s="4">
        <f t="shared" si="235"/>
        <v>126.96448619475048</v>
      </c>
      <c r="AI226" s="4">
        <f t="shared" si="236"/>
        <v>181.20985027160236</v>
      </c>
      <c r="AJ226" s="4">
        <f t="shared" si="237"/>
        <v>-25.566704522604208</v>
      </c>
      <c r="AK226" s="4">
        <f t="shared" si="238"/>
        <v>-1010.1936416628453</v>
      </c>
      <c r="AL226" s="4">
        <f t="shared" si="239"/>
        <v>-4439.0279161653916</v>
      </c>
      <c r="AM226" s="4">
        <f t="shared" si="240"/>
        <v>-113.29370317891701</v>
      </c>
      <c r="AN226" s="4">
        <f t="shared" si="241"/>
        <v>569.42836923962477</v>
      </c>
      <c r="AO226" s="4">
        <f t="shared" si="242"/>
        <v>4924.9434537276102</v>
      </c>
      <c r="AP226" s="4">
        <f t="shared" si="243"/>
        <v>11543.659908604512</v>
      </c>
      <c r="AQ226" s="4">
        <f t="shared" si="244"/>
        <v>1.6975588130008648E-3</v>
      </c>
      <c r="AR226" s="4">
        <f t="shared" si="245"/>
        <v>-4.8023196257864803E-2</v>
      </c>
      <c r="AS226" s="4">
        <f t="shared" si="246"/>
        <v>2.4881521925120024E-3</v>
      </c>
      <c r="AT226" s="4">
        <f t="shared" si="247"/>
        <v>0.47099035462854177</v>
      </c>
      <c r="AU226" s="4">
        <f t="shared" si="248"/>
        <v>0.21721606353152248</v>
      </c>
      <c r="AV226" s="4">
        <f t="shared" si="249"/>
        <v>-3.4619431694726654E-3</v>
      </c>
      <c r="AW226" s="4">
        <f t="shared" si="250"/>
        <v>-2.6236892783234889</v>
      </c>
      <c r="AX226" s="4">
        <f t="shared" si="251"/>
        <v>-3.2367697523512282</v>
      </c>
      <c r="AY226" s="4">
        <f t="shared" si="252"/>
        <v>4.6153805115420008</v>
      </c>
      <c r="AZ226" s="4">
        <f t="shared" si="253"/>
        <v>20.711187718340373</v>
      </c>
      <c r="BA226" s="4">
        <f t="shared" si="254"/>
        <v>-7.0299150928544704E-2</v>
      </c>
      <c r="BB226" s="4">
        <f t="shared" si="255"/>
        <v>-4.4765742785993421</v>
      </c>
      <c r="BC226" s="4">
        <f t="shared" si="256"/>
        <v>-1.5540660754546098</v>
      </c>
      <c r="BD226" s="4">
        <f t="shared" si="257"/>
        <v>19.10955947374994</v>
      </c>
      <c r="BE226" s="4">
        <f t="shared" si="258"/>
        <v>33.57597792823119</v>
      </c>
      <c r="BF226" s="4">
        <f t="shared" si="259"/>
        <v>-14.747079576161548</v>
      </c>
      <c r="BG226" s="4">
        <f t="shared" si="260"/>
        <v>-7.908901052518778</v>
      </c>
      <c r="BH226" s="4">
        <f t="shared" si="261"/>
        <v>-83.173071971078087</v>
      </c>
      <c r="BI226" s="4">
        <f t="shared" si="262"/>
        <v>-6.670058452555482</v>
      </c>
      <c r="BJ226" s="4">
        <f t="shared" si="263"/>
        <v>-109.41491622979099</v>
      </c>
      <c r="BK226" s="4">
        <f t="shared" si="264"/>
        <v>7.5240684109517508E-2</v>
      </c>
      <c r="BL226" s="4">
        <f t="shared" si="265"/>
        <v>5.8324998013654579</v>
      </c>
      <c r="BM226" s="4">
        <f t="shared" si="266"/>
        <v>8.3976635033023506</v>
      </c>
      <c r="BN226" s="4">
        <f t="shared" si="267"/>
        <v>-16.665053374715665</v>
      </c>
      <c r="BO226" s="4">
        <f t="shared" si="268"/>
        <v>-106.66480922414019</v>
      </c>
      <c r="BP226" s="4">
        <f t="shared" si="269"/>
        <v>-42.917049400318767</v>
      </c>
      <c r="BQ226" s="4">
        <f t="shared" si="270"/>
        <v>-26.64208682945133</v>
      </c>
      <c r="BR226" s="4">
        <f t="shared" si="271"/>
        <v>94.216817137889024</v>
      </c>
      <c r="BS226" s="4">
        <f t="shared" si="272"/>
        <v>509.1282067100459</v>
      </c>
      <c r="BT226" s="4">
        <f t="shared" si="273"/>
        <v>1325.1533774997049</v>
      </c>
      <c r="BU226" s="4">
        <f t="shared" si="274"/>
        <v>12.6496340551272</v>
      </c>
      <c r="BV226" s="4">
        <f t="shared" si="275"/>
        <v>127.86505376808664</v>
      </c>
      <c r="BW226" s="4">
        <f t="shared" si="276"/>
        <v>-427.98329322874815</v>
      </c>
      <c r="BX226" s="4">
        <f t="shared" si="277"/>
        <v>-1546.0686773526802</v>
      </c>
      <c r="BY226" s="4">
        <f t="shared" si="278"/>
        <v>-2901.791782145368</v>
      </c>
      <c r="BZ226" s="6">
        <f t="shared" si="279"/>
        <v>-2.2250386342452657</v>
      </c>
      <c r="CA226" s="7"/>
      <c r="CB226" s="6">
        <v>-2.2250364051128599</v>
      </c>
      <c r="CC226" s="6"/>
    </row>
    <row r="227" spans="1:81" x14ac:dyDescent="0.3">
      <c r="A227" s="4">
        <v>225</v>
      </c>
      <c r="B227" s="4">
        <v>145779</v>
      </c>
      <c r="C227" s="4">
        <v>2.0339999999999998</v>
      </c>
      <c r="D227" s="4">
        <v>4.0330000000000004</v>
      </c>
      <c r="E227" s="4">
        <v>0.36</v>
      </c>
      <c r="F227" s="4">
        <v>3.6339999999999999</v>
      </c>
      <c r="H227" s="6">
        <v>-2618.81325553337</v>
      </c>
      <c r="I227" s="4">
        <f t="shared" si="210"/>
        <v>94.403639471399998</v>
      </c>
      <c r="J227" s="4">
        <f t="shared" si="211"/>
        <v>-1984.7532766130003</v>
      </c>
      <c r="K227" s="4">
        <f t="shared" si="212"/>
        <v>852.77757599999995</v>
      </c>
      <c r="L227" s="4">
        <f t="shared" si="213"/>
        <v>11743.29324008</v>
      </c>
      <c r="M227" s="4">
        <f t="shared" si="214"/>
        <v>15.985394974627917</v>
      </c>
      <c r="N227" s="4">
        <f t="shared" si="215"/>
        <v>20.751546578828936</v>
      </c>
      <c r="O227" s="4">
        <f t="shared" si="216"/>
        <v>-50.400158281919985</v>
      </c>
      <c r="P227" s="4">
        <f t="shared" si="217"/>
        <v>-283.41058070732396</v>
      </c>
      <c r="Q227" s="4">
        <f t="shared" si="218"/>
        <v>-195.19664182271754</v>
      </c>
      <c r="R227" s="4">
        <f t="shared" si="219"/>
        <v>262.72724808167999</v>
      </c>
      <c r="S227" s="4">
        <f t="shared" si="220"/>
        <v>6200.9846006113748</v>
      </c>
      <c r="T227" s="4">
        <f t="shared" si="221"/>
        <v>-53.793166089599993</v>
      </c>
      <c r="U227" s="4">
        <f t="shared" si="222"/>
        <v>-2689.7614691543999</v>
      </c>
      <c r="V227" s="4">
        <f t="shared" si="223"/>
        <v>-19633.264411501197</v>
      </c>
      <c r="W227" s="4">
        <f t="shared" si="224"/>
        <v>-0.30451250095146531</v>
      </c>
      <c r="X227" s="4">
        <f t="shared" si="225"/>
        <v>2.2139233574402106</v>
      </c>
      <c r="Y227" s="4">
        <f t="shared" si="226"/>
        <v>0.88586216638150306</v>
      </c>
      <c r="Z227" s="4">
        <f t="shared" si="227"/>
        <v>-39.430362375282748</v>
      </c>
      <c r="AA227" s="4">
        <f t="shared" si="228"/>
        <v>7.6864808155224278</v>
      </c>
      <c r="AB227" s="4">
        <f t="shared" si="229"/>
        <v>-31.822229916839152</v>
      </c>
      <c r="AC227" s="4">
        <f t="shared" si="230"/>
        <v>1.0346170419831291</v>
      </c>
      <c r="AD227" s="4">
        <f t="shared" si="231"/>
        <v>21.628408011050876</v>
      </c>
      <c r="AE227" s="4">
        <f t="shared" si="232"/>
        <v>52.975241848898925</v>
      </c>
      <c r="AF227" s="4">
        <f t="shared" si="233"/>
        <v>320.87116124135963</v>
      </c>
      <c r="AG227" s="4">
        <f t="shared" si="234"/>
        <v>-28.398090687169191</v>
      </c>
      <c r="AH227" s="4">
        <f t="shared" si="235"/>
        <v>92.523472255157841</v>
      </c>
      <c r="AI227" s="4">
        <f t="shared" si="236"/>
        <v>284.91245790311041</v>
      </c>
      <c r="AJ227" s="4">
        <f t="shared" si="237"/>
        <v>-7.6843570990118399</v>
      </c>
      <c r="AK227" s="4">
        <f t="shared" si="238"/>
        <v>-655.08460250078303</v>
      </c>
      <c r="AL227" s="4">
        <f t="shared" si="239"/>
        <v>-6210.700858534713</v>
      </c>
      <c r="AM227" s="4">
        <f t="shared" si="240"/>
        <v>-14.044351235327998</v>
      </c>
      <c r="AN227" s="4">
        <f t="shared" si="241"/>
        <v>152.2982749755744</v>
      </c>
      <c r="AO227" s="4">
        <f t="shared" si="242"/>
        <v>2841.9544122434322</v>
      </c>
      <c r="AP227" s="4">
        <f t="shared" si="243"/>
        <v>14372.071085594678</v>
      </c>
      <c r="AQ227" s="4">
        <f t="shared" si="244"/>
        <v>1.2631419672940309E-3</v>
      </c>
      <c r="AR227" s="4">
        <f t="shared" si="245"/>
        <v>-4.6512934831844453E-2</v>
      </c>
      <c r="AS227" s="4">
        <f t="shared" si="246"/>
        <v>9.9394589795961334E-4</v>
      </c>
      <c r="AT227" s="4">
        <f t="shared" si="247"/>
        <v>0.40593620970063926</v>
      </c>
      <c r="AU227" s="4">
        <f t="shared" si="248"/>
        <v>0.27384824786077333</v>
      </c>
      <c r="AV227" s="4">
        <f t="shared" si="249"/>
        <v>-1.8001184578404421E-3</v>
      </c>
      <c r="AW227" s="4">
        <f t="shared" si="250"/>
        <v>-2.943428738403786</v>
      </c>
      <c r="AX227" s="4">
        <f t="shared" si="251"/>
        <v>-0.69415440000586426</v>
      </c>
      <c r="AY227" s="4">
        <f t="shared" si="252"/>
        <v>2.135559914506429</v>
      </c>
      <c r="AZ227" s="4">
        <f t="shared" si="253"/>
        <v>20.676128753868241</v>
      </c>
      <c r="BA227" s="4">
        <f t="shared" si="254"/>
        <v>-0.11536217978922017</v>
      </c>
      <c r="BB227" s="4">
        <f t="shared" si="255"/>
        <v>-3.0298581192864789</v>
      </c>
      <c r="BC227" s="4">
        <f t="shared" si="256"/>
        <v>-2.2693733561298246</v>
      </c>
      <c r="BD227" s="4">
        <f t="shared" si="257"/>
        <v>5.3344579456993086</v>
      </c>
      <c r="BE227" s="4">
        <f t="shared" si="258"/>
        <v>20.222193673751867</v>
      </c>
      <c r="BF227" s="4">
        <f t="shared" si="259"/>
        <v>-19.163092370267726</v>
      </c>
      <c r="BG227" s="4">
        <f t="shared" si="260"/>
        <v>-0.91058163180386664</v>
      </c>
      <c r="BH227" s="4">
        <f t="shared" si="261"/>
        <v>-20.660720386587112</v>
      </c>
      <c r="BI227" s="4">
        <f t="shared" si="262"/>
        <v>-3.5748047988062863</v>
      </c>
      <c r="BJ227" s="4">
        <f t="shared" si="263"/>
        <v>-126.52000463222596</v>
      </c>
      <c r="BK227" s="4">
        <f t="shared" si="264"/>
        <v>0.16071686628441229</v>
      </c>
      <c r="BL227" s="4">
        <f t="shared" si="265"/>
        <v>5.1383842284094827</v>
      </c>
      <c r="BM227" s="4">
        <f t="shared" si="266"/>
        <v>15.962109517367956</v>
      </c>
      <c r="BN227" s="4">
        <f t="shared" si="267"/>
        <v>-6.0553838111051759</v>
      </c>
      <c r="BO227" s="4">
        <f t="shared" si="268"/>
        <v>-83.621143465921079</v>
      </c>
      <c r="BP227" s="4">
        <f t="shared" si="269"/>
        <v>-72.591333023866</v>
      </c>
      <c r="BQ227" s="4">
        <f t="shared" si="270"/>
        <v>-3.9926967752225093</v>
      </c>
      <c r="BR227" s="4">
        <f t="shared" si="271"/>
        <v>30.463969567003208</v>
      </c>
      <c r="BS227" s="4">
        <f t="shared" si="272"/>
        <v>355.17729649522693</v>
      </c>
      <c r="BT227" s="4">
        <f t="shared" si="273"/>
        <v>1994.5464786522377</v>
      </c>
      <c r="BU227" s="4">
        <f t="shared" si="274"/>
        <v>0.78187832633548782</v>
      </c>
      <c r="BV227" s="4">
        <f t="shared" si="275"/>
        <v>17.051910830369277</v>
      </c>
      <c r="BW227" s="4">
        <f t="shared" si="276"/>
        <v>-123.14250335278922</v>
      </c>
      <c r="BX227" s="4">
        <f t="shared" si="277"/>
        <v>-959.77607120532775</v>
      </c>
      <c r="BY227" s="4">
        <f t="shared" si="278"/>
        <v>-3886.5777260185478</v>
      </c>
      <c r="BZ227" s="6">
        <f t="shared" si="279"/>
        <v>-2.2371063039945511</v>
      </c>
      <c r="CA227" s="7"/>
      <c r="CB227" s="6">
        <v>-2.2371039655031382</v>
      </c>
      <c r="CC227" s="6"/>
    </row>
    <row r="228" spans="1:81" x14ac:dyDescent="0.3">
      <c r="A228" s="4">
        <v>226</v>
      </c>
      <c r="B228" s="4">
        <v>67120062</v>
      </c>
      <c r="C228" s="4">
        <v>2.04</v>
      </c>
      <c r="D228" s="4">
        <v>2.3559999999999999</v>
      </c>
      <c r="E228" s="4">
        <v>0.61499999999999999</v>
      </c>
      <c r="F228" s="4">
        <v>2.9350000000000001</v>
      </c>
      <c r="H228" s="6">
        <v>-2618.81325553337</v>
      </c>
      <c r="I228" s="4">
        <f t="shared" si="210"/>
        <v>94.682116284000003</v>
      </c>
      <c r="J228" s="4">
        <f t="shared" si="211"/>
        <v>-1159.454182916</v>
      </c>
      <c r="K228" s="4">
        <f t="shared" si="212"/>
        <v>1456.8283589999999</v>
      </c>
      <c r="L228" s="4">
        <f t="shared" si="213"/>
        <v>9484.4704622000008</v>
      </c>
      <c r="M228" s="4">
        <f t="shared" si="214"/>
        <v>16.079843188512001</v>
      </c>
      <c r="N228" s="4">
        <f t="shared" si="215"/>
        <v>12.158409106804799</v>
      </c>
      <c r="O228" s="4">
        <f t="shared" si="216"/>
        <v>-86.354253496799998</v>
      </c>
      <c r="P228" s="4">
        <f t="shared" si="217"/>
        <v>-229.57175876459999</v>
      </c>
      <c r="Q228" s="4">
        <f t="shared" si="218"/>
        <v>-66.614146829719999</v>
      </c>
      <c r="R228" s="4">
        <f t="shared" si="219"/>
        <v>262.19523571883997</v>
      </c>
      <c r="S228" s="4">
        <f t="shared" si="220"/>
        <v>2925.7074631936202</v>
      </c>
      <c r="T228" s="4">
        <f t="shared" si="221"/>
        <v>-156.99012534134999</v>
      </c>
      <c r="U228" s="4">
        <f t="shared" si="222"/>
        <v>-3711.1590349327507</v>
      </c>
      <c r="V228" s="4">
        <f t="shared" si="223"/>
        <v>-12806.748494782501</v>
      </c>
      <c r="W228" s="4">
        <f t="shared" si="224"/>
        <v>-0.3072152589264</v>
      </c>
      <c r="X228" s="4">
        <f t="shared" si="225"/>
        <v>1.3009724025424705</v>
      </c>
      <c r="Y228" s="4">
        <f t="shared" si="226"/>
        <v>1.5222893421646799</v>
      </c>
      <c r="Z228" s="4">
        <f t="shared" si="227"/>
        <v>-32.034089798195758</v>
      </c>
      <c r="AA228" s="4">
        <f t="shared" si="228"/>
        <v>2.6308791227151493</v>
      </c>
      <c r="AB228" s="4">
        <f t="shared" si="229"/>
        <v>-31.851471950434796</v>
      </c>
      <c r="AC228" s="4">
        <f t="shared" si="230"/>
        <v>0.48958611598286589</v>
      </c>
      <c r="AD228" s="4">
        <f t="shared" si="231"/>
        <v>63.306601906321795</v>
      </c>
      <c r="AE228" s="4">
        <f t="shared" si="232"/>
        <v>73.307424968493308</v>
      </c>
      <c r="AF228" s="4">
        <f t="shared" si="233"/>
        <v>209.92118537910514</v>
      </c>
      <c r="AG228" s="4">
        <f t="shared" si="234"/>
        <v>-5.6614846488890924</v>
      </c>
      <c r="AH228" s="4">
        <f t="shared" si="235"/>
        <v>53.940959324907304</v>
      </c>
      <c r="AI228" s="4">
        <f t="shared" si="236"/>
        <v>78.528761870207404</v>
      </c>
      <c r="AJ228" s="4">
        <f t="shared" si="237"/>
        <v>-13.100860820015278</v>
      </c>
      <c r="AK228" s="4">
        <f t="shared" si="238"/>
        <v>-528.00769685566672</v>
      </c>
      <c r="AL228" s="4">
        <f t="shared" si="239"/>
        <v>-2366.6500299477493</v>
      </c>
      <c r="AM228" s="4">
        <f t="shared" si="240"/>
        <v>-70.019584164499491</v>
      </c>
      <c r="AN228" s="4">
        <f t="shared" si="241"/>
        <v>358.97433273262908</v>
      </c>
      <c r="AO228" s="4">
        <f t="shared" si="242"/>
        <v>3166.9126687329413</v>
      </c>
      <c r="AP228" s="4">
        <f t="shared" si="243"/>
        <v>7571.6216512061646</v>
      </c>
      <c r="AQ228" s="4">
        <f t="shared" si="244"/>
        <v>1.2781123754420274E-3</v>
      </c>
      <c r="AR228" s="4">
        <f t="shared" si="245"/>
        <v>-2.741311978120196E-2</v>
      </c>
      <c r="AS228" s="4">
        <f t="shared" si="246"/>
        <v>1.7130617466855867E-3</v>
      </c>
      <c r="AT228" s="4">
        <f t="shared" si="247"/>
        <v>0.33076430170555327</v>
      </c>
      <c r="AU228" s="4">
        <f t="shared" si="248"/>
        <v>9.4007506295910009E-2</v>
      </c>
      <c r="AV228" s="4">
        <f t="shared" si="249"/>
        <v>-1.8070875833503162E-3</v>
      </c>
      <c r="AW228" s="4">
        <f t="shared" si="250"/>
        <v>-1.3969543366790658</v>
      </c>
      <c r="AX228" s="4">
        <f t="shared" si="251"/>
        <v>-2.0377915101125565</v>
      </c>
      <c r="AY228" s="4">
        <f t="shared" si="252"/>
        <v>2.9639167128413328</v>
      </c>
      <c r="AZ228" s="4">
        <f t="shared" si="253"/>
        <v>13.566694041775195</v>
      </c>
      <c r="BA228" s="4">
        <f t="shared" si="254"/>
        <v>-2.3066614878928294E-2</v>
      </c>
      <c r="BB228" s="4">
        <f t="shared" si="255"/>
        <v>-1.7716105347132027</v>
      </c>
      <c r="BC228" s="4">
        <f t="shared" si="256"/>
        <v>-0.62733928026311647</v>
      </c>
      <c r="BD228" s="4">
        <f t="shared" si="257"/>
        <v>9.1214064572704512</v>
      </c>
      <c r="BE228" s="4">
        <f t="shared" si="258"/>
        <v>16.347462357293441</v>
      </c>
      <c r="BF228" s="4">
        <f t="shared" si="259"/>
        <v>-7.3238297676313771</v>
      </c>
      <c r="BG228" s="4">
        <f t="shared" si="260"/>
        <v>-4.5531918452898941</v>
      </c>
      <c r="BH228" s="4">
        <f t="shared" si="261"/>
        <v>-48.841960904465743</v>
      </c>
      <c r="BI228" s="4">
        <f t="shared" si="262"/>
        <v>-3.9953104511385353</v>
      </c>
      <c r="BJ228" s="4">
        <f t="shared" si="263"/>
        <v>-66.851008884421489</v>
      </c>
      <c r="BK228" s="4">
        <f t="shared" si="264"/>
        <v>1.8717580612792762E-2</v>
      </c>
      <c r="BL228" s="4">
        <f t="shared" si="265"/>
        <v>1.7500094075243224</v>
      </c>
      <c r="BM228" s="4">
        <f t="shared" si="266"/>
        <v>2.5701274562818219</v>
      </c>
      <c r="BN228" s="4">
        <f t="shared" si="267"/>
        <v>-6.0308848120276277</v>
      </c>
      <c r="BO228" s="4">
        <f t="shared" si="268"/>
        <v>-39.373681853313059</v>
      </c>
      <c r="BP228" s="4">
        <f t="shared" si="269"/>
        <v>-16.159401253734249</v>
      </c>
      <c r="BQ228" s="4">
        <f t="shared" si="270"/>
        <v>-11.628701914943189</v>
      </c>
      <c r="BR228" s="4">
        <f t="shared" si="271"/>
        <v>41.947102723877158</v>
      </c>
      <c r="BS228" s="4">
        <f t="shared" si="272"/>
        <v>231.21246377743611</v>
      </c>
      <c r="BT228" s="4">
        <f t="shared" si="273"/>
        <v>613.84789798104714</v>
      </c>
      <c r="BU228" s="4">
        <f t="shared" si="274"/>
        <v>6.6593161690541045</v>
      </c>
      <c r="BV228" s="4">
        <f t="shared" si="275"/>
        <v>68.66162547319361</v>
      </c>
      <c r="BW228" s="4">
        <f t="shared" si="276"/>
        <v>-234.42265121820159</v>
      </c>
      <c r="BX228" s="4">
        <f t="shared" si="277"/>
        <v>-863.79777471552859</v>
      </c>
      <c r="BY228" s="4">
        <f t="shared" si="278"/>
        <v>-1653.7127997107484</v>
      </c>
      <c r="BZ228" s="6">
        <f t="shared" si="279"/>
        <v>-2.2411609406433399</v>
      </c>
      <c r="CA228" s="7"/>
      <c r="CB228" s="6">
        <v>-2.2411576049671571</v>
      </c>
      <c r="CC228" s="6"/>
    </row>
    <row r="229" spans="1:81" x14ac:dyDescent="0.3">
      <c r="A229" s="4">
        <v>227</v>
      </c>
      <c r="B229" s="4">
        <v>72545292</v>
      </c>
      <c r="C229" s="4">
        <v>1.7849999999999999</v>
      </c>
      <c r="D229" s="4">
        <v>2.1110000000000002</v>
      </c>
      <c r="E229" s="4">
        <v>0.47899999999999998</v>
      </c>
      <c r="F229" s="4">
        <v>2.8759999999999999</v>
      </c>
      <c r="H229" s="6">
        <v>-2618.81325553337</v>
      </c>
      <c r="I229" s="4">
        <f t="shared" si="210"/>
        <v>82.846851748500001</v>
      </c>
      <c r="J229" s="4">
        <f t="shared" si="211"/>
        <v>-1038.8827589710002</v>
      </c>
      <c r="K229" s="4">
        <f t="shared" si="212"/>
        <v>1134.6679413999998</v>
      </c>
      <c r="L229" s="4">
        <f t="shared" si="213"/>
        <v>9293.81160112</v>
      </c>
      <c r="M229" s="4">
        <f t="shared" si="214"/>
        <v>12.3111299412045</v>
      </c>
      <c r="N229" s="4">
        <f t="shared" si="215"/>
        <v>9.5323011126514512</v>
      </c>
      <c r="O229" s="4">
        <f t="shared" si="216"/>
        <v>-58.85077479161999</v>
      </c>
      <c r="P229" s="4">
        <f t="shared" si="217"/>
        <v>-196.83725074313998</v>
      </c>
      <c r="Q229" s="4">
        <f t="shared" si="218"/>
        <v>-53.480118927357509</v>
      </c>
      <c r="R229" s="4">
        <f t="shared" si="219"/>
        <v>182.977690109034</v>
      </c>
      <c r="S229" s="4">
        <f t="shared" si="220"/>
        <v>2568.7664646876124</v>
      </c>
      <c r="T229" s="4">
        <f t="shared" si="221"/>
        <v>-95.234242444165986</v>
      </c>
      <c r="U229" s="4">
        <f t="shared" si="222"/>
        <v>-2832.3749151172401</v>
      </c>
      <c r="V229" s="4">
        <f t="shared" si="223"/>
        <v>-12297.0356750352</v>
      </c>
      <c r="W229" s="4">
        <f t="shared" si="224"/>
        <v>-0.20581022228858437</v>
      </c>
      <c r="X229" s="4">
        <f t="shared" si="225"/>
        <v>0.89247721473492281</v>
      </c>
      <c r="Y229" s="4">
        <f t="shared" si="226"/>
        <v>0.90776557799662605</v>
      </c>
      <c r="Z229" s="4">
        <f t="shared" si="227"/>
        <v>-24.033071074962411</v>
      </c>
      <c r="AA229" s="4">
        <f t="shared" si="228"/>
        <v>1.848139894896814</v>
      </c>
      <c r="AB229" s="4">
        <f t="shared" si="229"/>
        <v>-19.449610343125354</v>
      </c>
      <c r="AC229" s="4">
        <f t="shared" si="230"/>
        <v>0.37612384717816877</v>
      </c>
      <c r="AD229" s="4">
        <f t="shared" si="231"/>
        <v>33.602984445739523</v>
      </c>
      <c r="AE229" s="4">
        <f t="shared" si="232"/>
        <v>48.955015378185458</v>
      </c>
      <c r="AF229" s="4">
        <f t="shared" si="233"/>
        <v>176.37047126198186</v>
      </c>
      <c r="AG229" s="4">
        <f t="shared" si="234"/>
        <v>-4.0725757940554734</v>
      </c>
      <c r="AH229" s="4">
        <f t="shared" si="235"/>
        <v>33.729115923837711</v>
      </c>
      <c r="AI229" s="4">
        <f t="shared" si="236"/>
        <v>61.778224232061461</v>
      </c>
      <c r="AJ229" s="4">
        <f t="shared" si="237"/>
        <v>-7.1208784938854883</v>
      </c>
      <c r="AK229" s="4">
        <f t="shared" si="238"/>
        <v>-361.07246788050452</v>
      </c>
      <c r="AL229" s="4">
        <f t="shared" si="239"/>
        <v>-2036.1442420699818</v>
      </c>
      <c r="AM229" s="4">
        <f t="shared" si="240"/>
        <v>-33.082682743161925</v>
      </c>
      <c r="AN229" s="4">
        <f t="shared" si="241"/>
        <v>213.3855311778868</v>
      </c>
      <c r="AO229" s="4">
        <f t="shared" si="242"/>
        <v>2368.4162777624319</v>
      </c>
      <c r="AP229" s="4">
        <f t="shared" si="243"/>
        <v>7124.1201086829769</v>
      </c>
      <c r="AQ229" s="4">
        <f t="shared" si="244"/>
        <v>7.4920600913972357E-4</v>
      </c>
      <c r="AR229" s="4">
        <f t="shared" si="245"/>
        <v>-1.6454912224883152E-2</v>
      </c>
      <c r="AS229" s="4">
        <f t="shared" si="246"/>
        <v>8.9383544777439606E-4</v>
      </c>
      <c r="AT229" s="4">
        <f t="shared" si="247"/>
        <v>0.21713186699775985</v>
      </c>
      <c r="AU229" s="4">
        <f t="shared" si="248"/>
        <v>5.7783591667901986E-2</v>
      </c>
      <c r="AV229" s="4">
        <f t="shared" si="249"/>
        <v>-9.655364038093047E-4</v>
      </c>
      <c r="AW229" s="4">
        <f t="shared" si="250"/>
        <v>-0.93905718423100104</v>
      </c>
      <c r="AX229" s="4">
        <f t="shared" si="251"/>
        <v>-0.94644776471160597</v>
      </c>
      <c r="AY229" s="4">
        <f t="shared" si="252"/>
        <v>1.7319018473131995</v>
      </c>
      <c r="AZ229" s="4">
        <f t="shared" si="253"/>
        <v>9.9735940902396063</v>
      </c>
      <c r="BA229" s="4">
        <f t="shared" si="254"/>
        <v>-1.4518801220632442E-2</v>
      </c>
      <c r="BB229" s="4">
        <f t="shared" si="255"/>
        <v>-0.96930979008259144</v>
      </c>
      <c r="BC229" s="4">
        <f t="shared" si="256"/>
        <v>-0.4318343696926536</v>
      </c>
      <c r="BD229" s="4">
        <f t="shared" si="257"/>
        <v>4.3381404071013883</v>
      </c>
      <c r="BE229" s="4">
        <f t="shared" si="258"/>
        <v>9.7816590280254232</v>
      </c>
      <c r="BF229" s="4">
        <f t="shared" si="259"/>
        <v>-5.5134163985976077</v>
      </c>
      <c r="BG229" s="4">
        <f t="shared" si="260"/>
        <v>-1.8823708780677537</v>
      </c>
      <c r="BH229" s="4">
        <f t="shared" si="261"/>
        <v>-25.404035799796798</v>
      </c>
      <c r="BI229" s="4">
        <f t="shared" si="262"/>
        <v>-2.6144511658114893</v>
      </c>
      <c r="BJ229" s="4">
        <f t="shared" si="263"/>
        <v>-55.037455487221926</v>
      </c>
      <c r="BK229" s="4">
        <f t="shared" si="264"/>
        <v>1.2064282578010958E-2</v>
      </c>
      <c r="BL229" s="4">
        <f t="shared" si="265"/>
        <v>0.9804819940964723</v>
      </c>
      <c r="BM229" s="4">
        <f t="shared" si="266"/>
        <v>1.8116499187292183</v>
      </c>
      <c r="BN229" s="4">
        <f t="shared" si="267"/>
        <v>-2.9371607996209037</v>
      </c>
      <c r="BO229" s="4">
        <f t="shared" si="268"/>
        <v>-24.125320742944609</v>
      </c>
      <c r="BP229" s="4">
        <f t="shared" si="269"/>
        <v>-12.456978408094386</v>
      </c>
      <c r="BQ229" s="4">
        <f t="shared" si="270"/>
        <v>-4.9229494715273887</v>
      </c>
      <c r="BR229" s="4">
        <f t="shared" si="271"/>
        <v>22.34171400767038</v>
      </c>
      <c r="BS229" s="4">
        <f t="shared" si="272"/>
        <v>154.93378781331208</v>
      </c>
      <c r="BT229" s="4">
        <f t="shared" si="273"/>
        <v>517.50678549120107</v>
      </c>
      <c r="BU229" s="4">
        <f t="shared" si="274"/>
        <v>2.4505932065683282</v>
      </c>
      <c r="BV229" s="4">
        <f t="shared" si="275"/>
        <v>31.788940217164477</v>
      </c>
      <c r="BW229" s="4">
        <f t="shared" si="276"/>
        <v>-136.54692388684171</v>
      </c>
      <c r="BX229" s="4">
        <f t="shared" si="277"/>
        <v>-633.01617434580373</v>
      </c>
      <c r="BY229" s="4">
        <f t="shared" si="278"/>
        <v>-1524.6957592164301</v>
      </c>
      <c r="BZ229" s="6">
        <f t="shared" si="279"/>
        <v>-1.9378288213517862</v>
      </c>
      <c r="CA229" s="7"/>
      <c r="CB229" s="6">
        <v>-1.9378250612235211</v>
      </c>
      <c r="CC229" s="6"/>
    </row>
    <row r="230" spans="1:81" x14ac:dyDescent="0.3">
      <c r="A230" s="4">
        <v>228</v>
      </c>
      <c r="B230" s="4">
        <v>10561265</v>
      </c>
      <c r="C230" s="4">
        <v>1.8049999999999999</v>
      </c>
      <c r="D230" s="4">
        <v>2.7360000000000002</v>
      </c>
      <c r="E230" s="4">
        <v>0.71599999999999997</v>
      </c>
      <c r="F230" s="4">
        <v>2.9289999999999998</v>
      </c>
      <c r="H230" s="6">
        <v>-2618.81325553337</v>
      </c>
      <c r="I230" s="4">
        <f t="shared" si="210"/>
        <v>83.775107790500002</v>
      </c>
      <c r="J230" s="4">
        <f t="shared" si="211"/>
        <v>-1346.4629220960001</v>
      </c>
      <c r="K230" s="4">
        <f t="shared" si="212"/>
        <v>1696.0798455999998</v>
      </c>
      <c r="L230" s="4">
        <f t="shared" si="213"/>
        <v>9465.0814254799989</v>
      </c>
      <c r="M230" s="4">
        <f t="shared" si="214"/>
        <v>12.5885551480805</v>
      </c>
      <c r="N230" s="4">
        <f t="shared" si="215"/>
        <v>12.4929383896296</v>
      </c>
      <c r="O230" s="4">
        <f t="shared" si="216"/>
        <v>-88.954654977039993</v>
      </c>
      <c r="P230" s="4">
        <f t="shared" si="217"/>
        <v>-202.71074338875496</v>
      </c>
      <c r="Q230" s="4">
        <f t="shared" si="218"/>
        <v>-89.835519553920008</v>
      </c>
      <c r="R230" s="4">
        <f t="shared" si="219"/>
        <v>354.48960901593597</v>
      </c>
      <c r="S230" s="4">
        <f t="shared" si="220"/>
        <v>3390.6500824200484</v>
      </c>
      <c r="T230" s="4">
        <f t="shared" si="221"/>
        <v>-212.78849810825599</v>
      </c>
      <c r="U230" s="4">
        <f t="shared" si="222"/>
        <v>-4311.8012915808395</v>
      </c>
      <c r="V230" s="4">
        <f t="shared" si="223"/>
        <v>-12754.440522905697</v>
      </c>
      <c r="W230" s="4">
        <f t="shared" si="224"/>
        <v>-0.21280601494999687</v>
      </c>
      <c r="X230" s="4">
        <f t="shared" si="225"/>
        <v>1.1827772663783438</v>
      </c>
      <c r="Y230" s="4">
        <f t="shared" si="226"/>
        <v>1.3874878570579303</v>
      </c>
      <c r="Z230" s="4">
        <f t="shared" si="227"/>
        <v>-25.027515118337703</v>
      </c>
      <c r="AA230" s="4">
        <f t="shared" si="228"/>
        <v>3.1392763431602573</v>
      </c>
      <c r="AB230" s="4">
        <f t="shared" si="229"/>
        <v>-38.102656842044638</v>
      </c>
      <c r="AC230" s="4">
        <f t="shared" si="230"/>
        <v>0.50202830641510432</v>
      </c>
      <c r="AD230" s="4">
        <f t="shared" si="231"/>
        <v>75.922736750133936</v>
      </c>
      <c r="AE230" s="4">
        <f t="shared" si="232"/>
        <v>75.360570232938656</v>
      </c>
      <c r="AF230" s="4">
        <f t="shared" si="233"/>
        <v>184.98045403156834</v>
      </c>
      <c r="AG230" s="4">
        <f t="shared" si="234"/>
        <v>-8.8665109522530159</v>
      </c>
      <c r="AH230" s="4">
        <f t="shared" si="235"/>
        <v>84.691180481235151</v>
      </c>
      <c r="AI230" s="4">
        <f t="shared" si="236"/>
        <v>105.68701455543626</v>
      </c>
      <c r="AJ230" s="4">
        <f t="shared" si="237"/>
        <v>-20.621319581802702</v>
      </c>
      <c r="AK230" s="4">
        <f t="shared" si="238"/>
        <v>-712.4103706627285</v>
      </c>
      <c r="AL230" s="4">
        <f t="shared" si="239"/>
        <v>-2737.1423244115504</v>
      </c>
      <c r="AM230" s="4">
        <f t="shared" si="240"/>
        <v>-110.49261367582284</v>
      </c>
      <c r="AN230" s="4">
        <f t="shared" si="241"/>
        <v>485.5684673710627</v>
      </c>
      <c r="AO230" s="4">
        <f t="shared" si="242"/>
        <v>3671.9480316939712</v>
      </c>
      <c r="AP230" s="4">
        <f t="shared" si="243"/>
        <v>7525.2806752129682</v>
      </c>
      <c r="AQ230" s="4">
        <f t="shared" si="244"/>
        <v>7.8335243046699394E-4</v>
      </c>
      <c r="AR230" s="4">
        <f t="shared" si="245"/>
        <v>-2.2051614268807727E-2</v>
      </c>
      <c r="AS230" s="4">
        <f t="shared" si="246"/>
        <v>1.3815036612363563E-3</v>
      </c>
      <c r="AT230" s="4">
        <f t="shared" si="247"/>
        <v>0.22864989905934582</v>
      </c>
      <c r="AU230" s="4">
        <f t="shared" si="248"/>
        <v>9.9251761656060061E-2</v>
      </c>
      <c r="AV230" s="4">
        <f t="shared" si="249"/>
        <v>-1.9127226157651157E-3</v>
      </c>
      <c r="AW230" s="4">
        <f t="shared" si="250"/>
        <v>-1.2674427774066113</v>
      </c>
      <c r="AX230" s="4">
        <f t="shared" si="251"/>
        <v>-2.1623681665329268</v>
      </c>
      <c r="AY230" s="4">
        <f t="shared" si="252"/>
        <v>2.6959339379846461</v>
      </c>
      <c r="AZ230" s="4">
        <f t="shared" si="253"/>
        <v>10.577685266282129</v>
      </c>
      <c r="BA230" s="4">
        <f t="shared" si="254"/>
        <v>-3.1963426096301921E-2</v>
      </c>
      <c r="BB230" s="4">
        <f t="shared" si="255"/>
        <v>-2.4611314679291616</v>
      </c>
      <c r="BC230" s="4">
        <f t="shared" si="256"/>
        <v>-0.74703749468799541</v>
      </c>
      <c r="BD230" s="4">
        <f t="shared" si="257"/>
        <v>12.703560712233781</v>
      </c>
      <c r="BE230" s="4">
        <f t="shared" si="258"/>
        <v>19.515845189126296</v>
      </c>
      <c r="BF230" s="4">
        <f t="shared" si="259"/>
        <v>-7.4946027675178977</v>
      </c>
      <c r="BG230" s="4">
        <f t="shared" si="260"/>
        <v>-6.3573585761875862</v>
      </c>
      <c r="BH230" s="4">
        <f t="shared" si="261"/>
        <v>-58.455746319585764</v>
      </c>
      <c r="BI230" s="4">
        <f t="shared" si="262"/>
        <v>-4.0988120930825556</v>
      </c>
      <c r="BJ230" s="4">
        <f t="shared" si="263"/>
        <v>-58.788015895038967</v>
      </c>
      <c r="BK230" s="4">
        <f t="shared" si="264"/>
        <v>3.4041833243138531E-2</v>
      </c>
      <c r="BL230" s="4">
        <f t="shared" si="265"/>
        <v>3.1908082822469517</v>
      </c>
      <c r="BM230" s="4">
        <f t="shared" si="266"/>
        <v>4.0168752847819249</v>
      </c>
      <c r="BN230" s="4">
        <f t="shared" si="267"/>
        <v>-11.023981115350084</v>
      </c>
      <c r="BO230" s="4">
        <f t="shared" si="268"/>
        <v>-61.693131358024495</v>
      </c>
      <c r="BP230" s="4">
        <f t="shared" si="269"/>
        <v>-21.703481779618254</v>
      </c>
      <c r="BQ230" s="4">
        <f t="shared" si="270"/>
        <v>-21.310113591122615</v>
      </c>
      <c r="BR230" s="4">
        <f t="shared" si="271"/>
        <v>65.891570010182164</v>
      </c>
      <c r="BS230" s="4">
        <f t="shared" si="272"/>
        <v>311.32391785675577</v>
      </c>
      <c r="BT230" s="4">
        <f t="shared" si="273"/>
        <v>708.49269741309365</v>
      </c>
      <c r="BU230" s="4">
        <f t="shared" si="274"/>
        <v>12.234360146826866</v>
      </c>
      <c r="BV230" s="4">
        <f t="shared" si="275"/>
        <v>108.12822312057824</v>
      </c>
      <c r="BW230" s="4">
        <f t="shared" si="276"/>
        <v>-316.4447672709872</v>
      </c>
      <c r="BX230" s="4">
        <f t="shared" si="277"/>
        <v>-999.50227214244592</v>
      </c>
      <c r="BY230" s="4">
        <f t="shared" si="278"/>
        <v>-1640.2315156468787</v>
      </c>
      <c r="BZ230" s="6">
        <f t="shared" si="279"/>
        <v>-2.5373821120797402</v>
      </c>
      <c r="CA230" s="7"/>
      <c r="CB230" s="6">
        <v>-2.537379391342256</v>
      </c>
      <c r="CC230" s="6"/>
    </row>
    <row r="231" spans="1:81" x14ac:dyDescent="0.3">
      <c r="A231" s="4">
        <v>229</v>
      </c>
      <c r="B231" s="4">
        <v>56643423</v>
      </c>
      <c r="C231" s="4">
        <v>2.4329999999999998</v>
      </c>
      <c r="D231" s="4">
        <v>3.2639999999999998</v>
      </c>
      <c r="E231" s="4">
        <v>0.72099999999999997</v>
      </c>
      <c r="F231" s="4">
        <v>3.2519999999999998</v>
      </c>
      <c r="H231" s="6">
        <v>-2618.81325553337</v>
      </c>
      <c r="I231" s="4">
        <f t="shared" si="210"/>
        <v>112.9223475093</v>
      </c>
      <c r="J231" s="4">
        <f t="shared" si="211"/>
        <v>-1606.3066439039999</v>
      </c>
      <c r="K231" s="4">
        <f t="shared" si="212"/>
        <v>1707.9239785999998</v>
      </c>
      <c r="L231" s="4">
        <f t="shared" si="213"/>
        <v>10508.857902239999</v>
      </c>
      <c r="M231" s="4">
        <f t="shared" si="214"/>
        <v>22.87208162152098</v>
      </c>
      <c r="N231" s="4">
        <f t="shared" si="215"/>
        <v>20.089242347610234</v>
      </c>
      <c r="O231" s="4">
        <f t="shared" si="216"/>
        <v>-120.74129364284398</v>
      </c>
      <c r="P231" s="4">
        <f t="shared" si="217"/>
        <v>-303.37014157556393</v>
      </c>
      <c r="Q231" s="4">
        <f t="shared" si="218"/>
        <v>-127.85455291391997</v>
      </c>
      <c r="R231" s="4">
        <f t="shared" si="219"/>
        <v>425.85309592358391</v>
      </c>
      <c r="S231" s="4">
        <f t="shared" si="220"/>
        <v>4491.0531504437758</v>
      </c>
      <c r="T231" s="4">
        <f t="shared" si="221"/>
        <v>-215.77078127456599</v>
      </c>
      <c r="U231" s="4">
        <f t="shared" si="222"/>
        <v>-4820.7226492345198</v>
      </c>
      <c r="V231" s="4">
        <f t="shared" si="223"/>
        <v>-15722.577473140798</v>
      </c>
      <c r="W231" s="4">
        <f t="shared" si="224"/>
        <v>-0.5211690383089006</v>
      </c>
      <c r="X231" s="4">
        <f t="shared" si="225"/>
        <v>2.5636978015758598</v>
      </c>
      <c r="Y231" s="4">
        <f t="shared" si="226"/>
        <v>2.5385237957116722</v>
      </c>
      <c r="Z231" s="4">
        <f t="shared" si="227"/>
        <v>-50.486899776051345</v>
      </c>
      <c r="AA231" s="4">
        <f t="shared" si="228"/>
        <v>6.022302468794706</v>
      </c>
      <c r="AB231" s="4">
        <f t="shared" si="229"/>
        <v>-61.698763659115286</v>
      </c>
      <c r="AC231" s="4">
        <f t="shared" si="230"/>
        <v>0.89631018222110381</v>
      </c>
      <c r="AD231" s="4">
        <f t="shared" si="231"/>
        <v>103.77225209443806</v>
      </c>
      <c r="AE231" s="4">
        <f t="shared" si="232"/>
        <v>113.56970202701093</v>
      </c>
      <c r="AF231" s="4">
        <f t="shared" si="233"/>
        <v>307.36405296462431</v>
      </c>
      <c r="AG231" s="4">
        <f t="shared" si="234"/>
        <v>-15.054104484180391</v>
      </c>
      <c r="AH231" s="4">
        <f t="shared" si="235"/>
        <v>121.37480435368671</v>
      </c>
      <c r="AI231" s="4">
        <f t="shared" si="236"/>
        <v>167.00170667316752</v>
      </c>
      <c r="AJ231" s="4">
        <f t="shared" si="237"/>
        <v>-24.945659765463088</v>
      </c>
      <c r="AK231" s="4">
        <f t="shared" si="238"/>
        <v>-950.20584509897594</v>
      </c>
      <c r="AL231" s="4">
        <f t="shared" si="239"/>
        <v>-4025.2584254026006</v>
      </c>
      <c r="AM231" s="4">
        <f t="shared" si="240"/>
        <v>-112.82360542626687</v>
      </c>
      <c r="AN231" s="4">
        <f t="shared" si="241"/>
        <v>546.67111358740294</v>
      </c>
      <c r="AO231" s="4">
        <f t="shared" si="242"/>
        <v>4558.0711384008819</v>
      </c>
      <c r="AP231" s="4">
        <f t="shared" si="243"/>
        <v>10299.501340200773</v>
      </c>
      <c r="AQ231" s="4">
        <f t="shared" si="244"/>
        <v>2.5859302467634007E-3</v>
      </c>
      <c r="AR231" s="4">
        <f t="shared" si="245"/>
        <v>-6.4427184401166473E-2</v>
      </c>
      <c r="AS231" s="4">
        <f t="shared" si="246"/>
        <v>3.4069753445231986E-3</v>
      </c>
      <c r="AT231" s="4">
        <f t="shared" si="247"/>
        <v>0.62172293322919003</v>
      </c>
      <c r="AU231" s="4">
        <f t="shared" si="248"/>
        <v>0.25664697124063174</v>
      </c>
      <c r="AV231" s="4">
        <f t="shared" si="249"/>
        <v>-4.1748232916073071E-3</v>
      </c>
      <c r="AW231" s="4">
        <f t="shared" si="250"/>
        <v>-3.0501653877726733</v>
      </c>
      <c r="AX231" s="4">
        <f t="shared" si="251"/>
        <v>-3.9838587277608841</v>
      </c>
      <c r="AY231" s="4">
        <f t="shared" si="252"/>
        <v>5.4763659174833199</v>
      </c>
      <c r="AZ231" s="4">
        <f t="shared" si="253"/>
        <v>23.690966385282024</v>
      </c>
      <c r="BA231" s="4">
        <f t="shared" si="254"/>
        <v>-7.3151022003090413E-2</v>
      </c>
      <c r="BB231" s="4">
        <f t="shared" si="255"/>
        <v>-4.7543382049340259</v>
      </c>
      <c r="BC231" s="4">
        <f t="shared" si="256"/>
        <v>-1.591133362838578</v>
      </c>
      <c r="BD231" s="4">
        <f t="shared" si="257"/>
        <v>20.714235624125347</v>
      </c>
      <c r="BE231" s="4">
        <f t="shared" si="258"/>
        <v>35.086474451083895</v>
      </c>
      <c r="BF231" s="4">
        <f t="shared" si="259"/>
        <v>-14.856274295896043</v>
      </c>
      <c r="BG231" s="4">
        <f t="shared" si="260"/>
        <v>-8.7500057355740832</v>
      </c>
      <c r="BH231" s="4">
        <f t="shared" si="261"/>
        <v>-88.709016102509509</v>
      </c>
      <c r="BI231" s="4">
        <f t="shared" si="262"/>
        <v>-6.858157971151547</v>
      </c>
      <c r="BJ231" s="4">
        <f t="shared" si="263"/>
        <v>-108.45440631398965</v>
      </c>
      <c r="BK231" s="4">
        <f t="shared" si="264"/>
        <v>6.895236522816206E-2</v>
      </c>
      <c r="BL231" s="4">
        <f t="shared" si="265"/>
        <v>5.4553814693780289</v>
      </c>
      <c r="BM231" s="4">
        <f t="shared" si="266"/>
        <v>7.5721931684042252</v>
      </c>
      <c r="BN231" s="4">
        <f t="shared" si="267"/>
        <v>-15.90929956498948</v>
      </c>
      <c r="BO231" s="4">
        <f t="shared" si="268"/>
        <v>-98.165376365571646</v>
      </c>
      <c r="BP231" s="4">
        <f t="shared" si="269"/>
        <v>-38.076748517672321</v>
      </c>
      <c r="BQ231" s="4">
        <f t="shared" si="270"/>
        <v>-25.958915751035175</v>
      </c>
      <c r="BR231" s="4">
        <f t="shared" si="271"/>
        <v>88.499244408285989</v>
      </c>
      <c r="BS231" s="4">
        <f t="shared" si="272"/>
        <v>461.03204938335631</v>
      </c>
      <c r="BT231" s="4">
        <f t="shared" si="273"/>
        <v>1156.8123887295505</v>
      </c>
      <c r="BU231" s="4">
        <f t="shared" si="274"/>
        <v>12.579698443438208</v>
      </c>
      <c r="BV231" s="4">
        <f t="shared" si="275"/>
        <v>122.58489481159984</v>
      </c>
      <c r="BW231" s="4">
        <f t="shared" si="276"/>
        <v>-395.55304662659887</v>
      </c>
      <c r="BX231" s="4">
        <f t="shared" si="277"/>
        <v>-1377.5251093458103</v>
      </c>
      <c r="BY231" s="4">
        <f t="shared" si="278"/>
        <v>-2492.4692737864971</v>
      </c>
      <c r="BZ231" s="6">
        <f t="shared" si="279"/>
        <v>-2.5821917574867257</v>
      </c>
      <c r="CA231" s="7"/>
      <c r="CB231" s="6">
        <v>-2.5821895039343872</v>
      </c>
      <c r="CC231" s="6"/>
    </row>
    <row r="232" spans="1:81" x14ac:dyDescent="0.3">
      <c r="A232" s="4">
        <v>230</v>
      </c>
      <c r="B232" s="4">
        <v>57391576</v>
      </c>
      <c r="C232" s="4">
        <v>2.4980000000000002</v>
      </c>
      <c r="D232" s="4">
        <v>3.0779999999999998</v>
      </c>
      <c r="E232" s="4">
        <v>0.77500000000000002</v>
      </c>
      <c r="F232" s="4">
        <v>3.2519999999999998</v>
      </c>
      <c r="H232" s="6">
        <v>-2618.81325553337</v>
      </c>
      <c r="I232" s="4">
        <f t="shared" si="210"/>
        <v>115.93917964580001</v>
      </c>
      <c r="J232" s="4">
        <f t="shared" si="211"/>
        <v>-1514.770787358</v>
      </c>
      <c r="K232" s="4">
        <f t="shared" si="212"/>
        <v>1835.8406149999998</v>
      </c>
      <c r="L232" s="4">
        <f t="shared" si="213"/>
        <v>10508.857902239999</v>
      </c>
      <c r="M232" s="4">
        <f t="shared" si="214"/>
        <v>24.110506972243286</v>
      </c>
      <c r="N232" s="4">
        <f t="shared" si="215"/>
        <v>19.450570697759879</v>
      </c>
      <c r="O232" s="4">
        <f t="shared" si="216"/>
        <v>-133.25164758260001</v>
      </c>
      <c r="P232" s="4">
        <f t="shared" si="217"/>
        <v>-311.47497478658397</v>
      </c>
      <c r="Q232" s="4">
        <f t="shared" si="218"/>
        <v>-113.69807943542999</v>
      </c>
      <c r="R232" s="4">
        <f t="shared" si="219"/>
        <v>431.66288807369995</v>
      </c>
      <c r="S232" s="4">
        <f t="shared" si="220"/>
        <v>4235.1291657677521</v>
      </c>
      <c r="T232" s="4">
        <f t="shared" si="221"/>
        <v>-249.30185480375002</v>
      </c>
      <c r="U232" s="4">
        <f t="shared" si="222"/>
        <v>-5181.7753857930002</v>
      </c>
      <c r="V232" s="4">
        <f t="shared" si="223"/>
        <v>-15722.577473140798</v>
      </c>
      <c r="W232" s="4">
        <f t="shared" si="224"/>
        <v>-0.56406555813225434</v>
      </c>
      <c r="X232" s="4">
        <f t="shared" si="225"/>
        <v>2.548507679491002</v>
      </c>
      <c r="Y232" s="4">
        <f t="shared" si="226"/>
        <v>2.8763936860609247</v>
      </c>
      <c r="Z232" s="4">
        <f t="shared" si="227"/>
        <v>-53.220549366703708</v>
      </c>
      <c r="AA232" s="4">
        <f t="shared" si="228"/>
        <v>5.4985707818763858</v>
      </c>
      <c r="AB232" s="4">
        <f t="shared" si="229"/>
        <v>-64.211333607395559</v>
      </c>
      <c r="AC232" s="4">
        <f t="shared" si="230"/>
        <v>0.86781493621074735</v>
      </c>
      <c r="AD232" s="4">
        <f t="shared" si="231"/>
        <v>123.10181118125477</v>
      </c>
      <c r="AE232" s="4">
        <f t="shared" si="232"/>
        <v>125.33698665950206</v>
      </c>
      <c r="AF232" s="4">
        <f t="shared" si="233"/>
        <v>315.5755874663509</v>
      </c>
      <c r="AG232" s="4">
        <f t="shared" si="234"/>
        <v>-12.624387664438373</v>
      </c>
      <c r="AH232" s="4">
        <f t="shared" si="235"/>
        <v>116.01974630563757</v>
      </c>
      <c r="AI232" s="4">
        <f t="shared" si="236"/>
        <v>148.5107325349766</v>
      </c>
      <c r="AJ232" s="4">
        <f t="shared" si="237"/>
        <v>-27.179804943369003</v>
      </c>
      <c r="AK232" s="4">
        <f t="shared" si="238"/>
        <v>-963.16923203380077</v>
      </c>
      <c r="AL232" s="4">
        <f t="shared" si="239"/>
        <v>-3795.8778901314963</v>
      </c>
      <c r="AM232" s="4">
        <f t="shared" si="240"/>
        <v>-140.1197285891875</v>
      </c>
      <c r="AN232" s="4">
        <f t="shared" si="241"/>
        <v>631.62454981125757</v>
      </c>
      <c r="AO232" s="4">
        <f t="shared" si="242"/>
        <v>4899.4523332325707</v>
      </c>
      <c r="AP232" s="4">
        <f t="shared" si="243"/>
        <v>10299.501340200773</v>
      </c>
      <c r="AQ232" s="4">
        <f t="shared" si="244"/>
        <v>2.8735456867685898E-3</v>
      </c>
      <c r="AR232" s="4">
        <f t="shared" si="245"/>
        <v>-6.5756485442019896E-2</v>
      </c>
      <c r="AS232" s="4">
        <f t="shared" si="246"/>
        <v>3.9635688244772432E-3</v>
      </c>
      <c r="AT232" s="4">
        <f t="shared" si="247"/>
        <v>0.67289586978052107</v>
      </c>
      <c r="AU232" s="4">
        <f t="shared" si="248"/>
        <v>0.24058786846042549</v>
      </c>
      <c r="AV232" s="4">
        <f t="shared" si="249"/>
        <v>-4.4609119500286058E-3</v>
      </c>
      <c r="AW232" s="4">
        <f t="shared" si="250"/>
        <v>-3.0320929048962615</v>
      </c>
      <c r="AX232" s="4">
        <f t="shared" si="251"/>
        <v>-4.8521861653657545</v>
      </c>
      <c r="AY232" s="4">
        <f t="shared" si="252"/>
        <v>6.2052537676496957</v>
      </c>
      <c r="AZ232" s="4">
        <f t="shared" si="253"/>
        <v>24.973730841973929</v>
      </c>
      <c r="BA232" s="4">
        <f t="shared" si="254"/>
        <v>-6.298340264160085E-2</v>
      </c>
      <c r="BB232" s="4">
        <f t="shared" si="255"/>
        <v>-4.6659895973457672</v>
      </c>
      <c r="BC232" s="4">
        <f t="shared" si="256"/>
        <v>-1.4527598811761318</v>
      </c>
      <c r="BD232" s="4">
        <f t="shared" si="257"/>
        <v>23.172376602188034</v>
      </c>
      <c r="BE232" s="4">
        <f t="shared" si="258"/>
        <v>36.51530731690864</v>
      </c>
      <c r="BF232" s="4">
        <f t="shared" si="259"/>
        <v>-14.383967722506624</v>
      </c>
      <c r="BG232" s="4">
        <f t="shared" si="260"/>
        <v>-11.157270854632181</v>
      </c>
      <c r="BH232" s="4">
        <f t="shared" si="261"/>
        <v>-105.23276049158147</v>
      </c>
      <c r="BI232" s="4">
        <f t="shared" si="262"/>
        <v>-7.568751513801983</v>
      </c>
      <c r="BJ232" s="4">
        <f t="shared" si="263"/>
        <v>-111.35187298493473</v>
      </c>
      <c r="BK232" s="4">
        <f t="shared" si="264"/>
        <v>5.452843454790815E-2</v>
      </c>
      <c r="BL232" s="4">
        <f t="shared" si="265"/>
        <v>4.91752932214143</v>
      </c>
      <c r="BM232" s="4">
        <f t="shared" si="266"/>
        <v>6.3500490599359205</v>
      </c>
      <c r="BN232" s="4">
        <f t="shared" si="267"/>
        <v>-16.346352721475839</v>
      </c>
      <c r="BO232" s="4">
        <f t="shared" si="268"/>
        <v>-93.834318601602874</v>
      </c>
      <c r="BP232" s="4">
        <f t="shared" si="269"/>
        <v>-33.860766620645371</v>
      </c>
      <c r="BQ232" s="4">
        <f t="shared" si="270"/>
        <v>-30.402152120526782</v>
      </c>
      <c r="BR232" s="4">
        <f t="shared" si="271"/>
        <v>96.425278916975529</v>
      </c>
      <c r="BS232" s="4">
        <f t="shared" si="272"/>
        <v>467.32177794726465</v>
      </c>
      <c r="BT232" s="4">
        <f t="shared" si="273"/>
        <v>1090.8910945188593</v>
      </c>
      <c r="BU232" s="4">
        <f t="shared" si="274"/>
        <v>16.793297494590941</v>
      </c>
      <c r="BV232" s="4">
        <f t="shared" si="275"/>
        <v>152.24262799650376</v>
      </c>
      <c r="BW232" s="4">
        <f t="shared" si="276"/>
        <v>-457.02252925433157</v>
      </c>
      <c r="BX232" s="4">
        <f t="shared" si="277"/>
        <v>-1480.6961993661621</v>
      </c>
      <c r="BY232" s="4">
        <f t="shared" si="278"/>
        <v>-2492.4692737864971</v>
      </c>
      <c r="BZ232" s="6">
        <f t="shared" si="279"/>
        <v>-2.4045197700652352</v>
      </c>
      <c r="CA232" s="7"/>
      <c r="CB232" s="6">
        <v>-2.4045175540204582</v>
      </c>
      <c r="CC232" s="6"/>
    </row>
    <row r="233" spans="1:81" x14ac:dyDescent="0.3">
      <c r="A233" s="4">
        <v>231</v>
      </c>
      <c r="B233" s="4">
        <v>72545543</v>
      </c>
      <c r="C233" s="4">
        <v>2.0059999999999998</v>
      </c>
      <c r="D233" s="4">
        <v>2.5760000000000001</v>
      </c>
      <c r="E233" s="4">
        <v>0.47499999999999998</v>
      </c>
      <c r="F233" s="4">
        <v>2.9220000000000002</v>
      </c>
      <c r="H233" s="6">
        <v>-2618.81325553337</v>
      </c>
      <c r="I233" s="4">
        <f t="shared" si="210"/>
        <v>93.104081012599991</v>
      </c>
      <c r="J233" s="4">
        <f t="shared" si="211"/>
        <v>-1267.722400336</v>
      </c>
      <c r="K233" s="4">
        <f t="shared" si="212"/>
        <v>1125.1926349999999</v>
      </c>
      <c r="L233" s="4">
        <f t="shared" si="213"/>
        <v>9442.4608826399999</v>
      </c>
      <c r="M233" s="4">
        <f t="shared" si="214"/>
        <v>15.548315038669516</v>
      </c>
      <c r="N233" s="4">
        <f t="shared" si="215"/>
        <v>13.072182015341118</v>
      </c>
      <c r="O233" s="4">
        <f t="shared" si="216"/>
        <v>-65.584768407799984</v>
      </c>
      <c r="P233" s="4">
        <f t="shared" si="217"/>
        <v>-224.74566761782796</v>
      </c>
      <c r="Q233" s="4">
        <f t="shared" si="218"/>
        <v>-79.635665755520009</v>
      </c>
      <c r="R233" s="4">
        <f t="shared" si="219"/>
        <v>221.4184786296</v>
      </c>
      <c r="S233" s="4">
        <f t="shared" si="220"/>
        <v>3184.7370339234244</v>
      </c>
      <c r="T233" s="4">
        <f t="shared" si="221"/>
        <v>-93.65033255374999</v>
      </c>
      <c r="U233" s="4">
        <f t="shared" si="222"/>
        <v>-2853.6464495145001</v>
      </c>
      <c r="V233" s="4">
        <f t="shared" si="223"/>
        <v>-12693.549845206802</v>
      </c>
      <c r="W233" s="4">
        <f t="shared" si="224"/>
        <v>-0.29210908640298655</v>
      </c>
      <c r="X233" s="4">
        <f t="shared" si="225"/>
        <v>1.3754353409796349</v>
      </c>
      <c r="Y233" s="4">
        <f t="shared" si="226"/>
        <v>1.1368867976674542</v>
      </c>
      <c r="Z233" s="4">
        <f t="shared" si="227"/>
        <v>-30.83798672806471</v>
      </c>
      <c r="AA233" s="4">
        <f t="shared" si="228"/>
        <v>3.0927356538647617</v>
      </c>
      <c r="AB233" s="4">
        <f t="shared" si="229"/>
        <v>-26.449613782426795</v>
      </c>
      <c r="AC233" s="4">
        <f t="shared" si="230"/>
        <v>0.52404976810087156</v>
      </c>
      <c r="AD233" s="4">
        <f t="shared" si="231"/>
        <v>37.135284167348246</v>
      </c>
      <c r="AE233" s="4">
        <f t="shared" si="232"/>
        <v>55.429291271276902</v>
      </c>
      <c r="AF233" s="4">
        <f t="shared" si="233"/>
        <v>204.59793371745749</v>
      </c>
      <c r="AG233" s="4">
        <f t="shared" si="234"/>
        <v>-7.4001760512365218</v>
      </c>
      <c r="AH233" s="4">
        <f t="shared" si="235"/>
        <v>49.805614753242885</v>
      </c>
      <c r="AI233" s="4">
        <f t="shared" si="236"/>
        <v>93.463491601424735</v>
      </c>
      <c r="AJ233" s="4">
        <f t="shared" si="237"/>
        <v>-8.5449080378479998</v>
      </c>
      <c r="AK233" s="4">
        <f t="shared" si="238"/>
        <v>-443.91664117631041</v>
      </c>
      <c r="AL233" s="4">
        <f t="shared" si="239"/>
        <v>-2564.7723655353843</v>
      </c>
      <c r="AM233" s="4">
        <f t="shared" si="240"/>
        <v>-32.260790788937491</v>
      </c>
      <c r="AN233" s="4">
        <f t="shared" si="241"/>
        <v>213.19277894848872</v>
      </c>
      <c r="AO233" s="4">
        <f t="shared" si="242"/>
        <v>2424.3693970262152</v>
      </c>
      <c r="AP233" s="4">
        <f t="shared" si="243"/>
        <v>7471.455643482851</v>
      </c>
      <c r="AQ233" s="4">
        <f t="shared" si="244"/>
        <v>1.1950115009103839E-3</v>
      </c>
      <c r="AR233" s="4">
        <f t="shared" si="245"/>
        <v>-2.84991114737628E-2</v>
      </c>
      <c r="AS233" s="4">
        <f t="shared" si="246"/>
        <v>1.2580381024123459E-3</v>
      </c>
      <c r="AT233" s="4">
        <f t="shared" si="247"/>
        <v>0.31310717603854443</v>
      </c>
      <c r="AU233" s="4">
        <f t="shared" si="248"/>
        <v>0.10866888227955532</v>
      </c>
      <c r="AV233" s="4">
        <f t="shared" si="249"/>
        <v>-1.4756038877239187E-3</v>
      </c>
      <c r="AW233" s="4">
        <f t="shared" si="250"/>
        <v>-1.4703692488009503</v>
      </c>
      <c r="AX233" s="4">
        <f t="shared" si="251"/>
        <v>-1.1754340271164985</v>
      </c>
      <c r="AY233" s="4">
        <f t="shared" si="252"/>
        <v>2.2037286509925638</v>
      </c>
      <c r="AZ233" s="4">
        <f t="shared" si="253"/>
        <v>13.002287520065414</v>
      </c>
      <c r="BA233" s="4">
        <f t="shared" si="254"/>
        <v>-2.9648064286383797E-2</v>
      </c>
      <c r="BB233" s="4">
        <f t="shared" si="255"/>
        <v>-1.6085281081551523</v>
      </c>
      <c r="BC233" s="4">
        <f t="shared" si="256"/>
        <v>-0.73420357314272378</v>
      </c>
      <c r="BD233" s="4">
        <f t="shared" si="257"/>
        <v>5.850192142608079</v>
      </c>
      <c r="BE233" s="4">
        <f t="shared" si="258"/>
        <v>13.514882669724459</v>
      </c>
      <c r="BF233" s="4">
        <f t="shared" si="259"/>
        <v>-7.804656382457364</v>
      </c>
      <c r="BG233" s="4">
        <f t="shared" si="260"/>
        <v>-2.0628715776299429</v>
      </c>
      <c r="BH233" s="4">
        <f t="shared" si="261"/>
        <v>-28.523508650317837</v>
      </c>
      <c r="BI233" s="4">
        <f t="shared" si="262"/>
        <v>-3.0075579107608807</v>
      </c>
      <c r="BJ233" s="4">
        <f t="shared" si="263"/>
        <v>-64.867184041579605</v>
      </c>
      <c r="BK233" s="4">
        <f t="shared" si="264"/>
        <v>2.6750506071895351E-2</v>
      </c>
      <c r="BL233" s="4">
        <f t="shared" si="265"/>
        <v>1.7667316729732121</v>
      </c>
      <c r="BM233" s="4">
        <f t="shared" si="266"/>
        <v>3.3445560990793375</v>
      </c>
      <c r="BN233" s="4">
        <f t="shared" si="267"/>
        <v>-4.3008982332259782</v>
      </c>
      <c r="BO233" s="4">
        <f t="shared" si="268"/>
        <v>-36.194099236421003</v>
      </c>
      <c r="BP233" s="4">
        <f t="shared" si="269"/>
        <v>-19.147435807674444</v>
      </c>
      <c r="BQ233" s="4">
        <f t="shared" si="270"/>
        <v>-5.8581068966379748</v>
      </c>
      <c r="BR233" s="4">
        <f t="shared" si="271"/>
        <v>27.238402671966281</v>
      </c>
      <c r="BS233" s="4">
        <f t="shared" si="272"/>
        <v>193.5283170670821</v>
      </c>
      <c r="BT233" s="4">
        <f t="shared" si="273"/>
        <v>662.28918566178777</v>
      </c>
      <c r="BU233" s="4">
        <f t="shared" si="274"/>
        <v>2.3697558829659373</v>
      </c>
      <c r="BV233" s="4">
        <f t="shared" si="275"/>
        <v>31.495004020224371</v>
      </c>
      <c r="BW233" s="4">
        <f t="shared" si="276"/>
        <v>-138.60559868284528</v>
      </c>
      <c r="BX233" s="4">
        <f t="shared" si="277"/>
        <v>-658.33492128302623</v>
      </c>
      <c r="BY233" s="4">
        <f t="shared" si="278"/>
        <v>-1624.6077172698108</v>
      </c>
      <c r="BZ233" s="6">
        <f t="shared" si="279"/>
        <v>-2.0195153594179374</v>
      </c>
      <c r="CA233" s="7"/>
      <c r="CB233" s="6">
        <v>-2.0195119050667931</v>
      </c>
      <c r="CC233" s="6"/>
    </row>
    <row r="234" spans="1:81" x14ac:dyDescent="0.3">
      <c r="A234" s="4">
        <v>232</v>
      </c>
      <c r="B234" s="4">
        <v>57396823</v>
      </c>
      <c r="C234" s="4">
        <v>1.839</v>
      </c>
      <c r="D234" s="4">
        <v>2.5510000000000002</v>
      </c>
      <c r="E234" s="4">
        <v>0.81799999999999995</v>
      </c>
      <c r="F234" s="4">
        <v>2.9089999999999998</v>
      </c>
      <c r="H234" s="6">
        <v>-2618.81325553337</v>
      </c>
      <c r="I234" s="4">
        <f t="shared" si="210"/>
        <v>85.353143061899999</v>
      </c>
      <c r="J234" s="4">
        <f t="shared" si="211"/>
        <v>-1255.419193811</v>
      </c>
      <c r="K234" s="4">
        <f t="shared" si="212"/>
        <v>1937.7001587999998</v>
      </c>
      <c r="L234" s="4">
        <f t="shared" si="213"/>
        <v>9400.451303079999</v>
      </c>
      <c r="M234" s="4">
        <f t="shared" si="214"/>
        <v>13.067272048235219</v>
      </c>
      <c r="N234" s="4">
        <f t="shared" si="215"/>
        <v>11.867616036705028</v>
      </c>
      <c r="O234" s="4">
        <f t="shared" si="216"/>
        <v>-103.54126912461598</v>
      </c>
      <c r="P234" s="4">
        <f t="shared" si="217"/>
        <v>-205.11888112482899</v>
      </c>
      <c r="Q234" s="4">
        <f t="shared" si="218"/>
        <v>-78.09744302795751</v>
      </c>
      <c r="R234" s="4">
        <f t="shared" si="219"/>
        <v>377.60536522474797</v>
      </c>
      <c r="S234" s="4">
        <f t="shared" si="220"/>
        <v>3139.7978497912536</v>
      </c>
      <c r="T234" s="4">
        <f t="shared" si="221"/>
        <v>-277.73378446402398</v>
      </c>
      <c r="U234" s="4">
        <f t="shared" si="222"/>
        <v>-4892.4159030942201</v>
      </c>
      <c r="V234" s="4">
        <f t="shared" si="223"/>
        <v>-12580.853699453699</v>
      </c>
      <c r="W234" s="4">
        <f t="shared" si="224"/>
        <v>-0.22505956135863503</v>
      </c>
      <c r="X234" s="4">
        <f t="shared" si="225"/>
        <v>1.1447387393288853</v>
      </c>
      <c r="Y234" s="4">
        <f t="shared" si="226"/>
        <v>1.64542661701898</v>
      </c>
      <c r="Z234" s="4">
        <f t="shared" si="227"/>
        <v>-25.801866743839447</v>
      </c>
      <c r="AA234" s="4">
        <f t="shared" si="228"/>
        <v>2.7804993726863487</v>
      </c>
      <c r="AB234" s="4">
        <f t="shared" si="229"/>
        <v>-41.351801017692765</v>
      </c>
      <c r="AC234" s="4">
        <f t="shared" si="230"/>
        <v>0.47364334903717181</v>
      </c>
      <c r="AD234" s="4">
        <f t="shared" si="231"/>
        <v>100.9617663910019</v>
      </c>
      <c r="AE234" s="4">
        <f t="shared" si="232"/>
        <v>87.119089909765066</v>
      </c>
      <c r="AF234" s="4">
        <f t="shared" si="233"/>
        <v>185.89986021403914</v>
      </c>
      <c r="AG234" s="4">
        <f t="shared" si="234"/>
        <v>-7.186804838954485</v>
      </c>
      <c r="AH234" s="4">
        <f t="shared" si="235"/>
        <v>84.113789421965592</v>
      </c>
      <c r="AI234" s="4">
        <f t="shared" si="236"/>
        <v>91.250386120161153</v>
      </c>
      <c r="AJ234" s="4">
        <f t="shared" si="237"/>
        <v>-25.095241599652926</v>
      </c>
      <c r="AK234" s="4">
        <f t="shared" si="238"/>
        <v>-753.68388495707188</v>
      </c>
      <c r="AL234" s="4">
        <f t="shared" si="239"/>
        <v>-2517.3317006321518</v>
      </c>
      <c r="AM234" s="4">
        <f t="shared" si="240"/>
        <v>-164.76087545777318</v>
      </c>
      <c r="AN234" s="4">
        <f t="shared" si="241"/>
        <v>629.44152198181416</v>
      </c>
      <c r="AO234" s="4">
        <f t="shared" si="242"/>
        <v>4137.952552817771</v>
      </c>
      <c r="AP234" s="4">
        <f t="shared" si="243"/>
        <v>7372.1769608341619</v>
      </c>
      <c r="AQ234" s="4">
        <f t="shared" si="244"/>
        <v>8.4406382421264067E-4</v>
      </c>
      <c r="AR234" s="4">
        <f t="shared" si="245"/>
        <v>-2.1744444716869486E-2</v>
      </c>
      <c r="AS234" s="4">
        <f t="shared" si="246"/>
        <v>1.6691904471721427E-3</v>
      </c>
      <c r="AT234" s="4">
        <f t="shared" si="247"/>
        <v>0.24016456642996878</v>
      </c>
      <c r="AU234" s="4">
        <f t="shared" si="248"/>
        <v>8.9564519655178865E-2</v>
      </c>
      <c r="AV234" s="4">
        <f t="shared" si="249"/>
        <v>-2.1149284815589571E-3</v>
      </c>
      <c r="AW234" s="4">
        <f t="shared" si="250"/>
        <v>-1.2183052676933885</v>
      </c>
      <c r="AX234" s="4">
        <f t="shared" si="251"/>
        <v>-2.9296736702103496</v>
      </c>
      <c r="AY234" s="4">
        <f t="shared" si="252"/>
        <v>3.1752865429461004</v>
      </c>
      <c r="AZ234" s="4">
        <f t="shared" si="253"/>
        <v>10.830496984777335</v>
      </c>
      <c r="BA234" s="4">
        <f t="shared" si="254"/>
        <v>-2.6396171658384305E-2</v>
      </c>
      <c r="BB234" s="4">
        <f t="shared" si="255"/>
        <v>-2.4903956483958329</v>
      </c>
      <c r="BC234" s="4">
        <f t="shared" si="256"/>
        <v>-0.65714317812234502</v>
      </c>
      <c r="BD234" s="4">
        <f t="shared" si="257"/>
        <v>15.750883481010964</v>
      </c>
      <c r="BE234" s="4">
        <f t="shared" si="258"/>
        <v>21.035405283471512</v>
      </c>
      <c r="BF234" s="4">
        <f t="shared" si="259"/>
        <v>-7.0225721008085147</v>
      </c>
      <c r="BG234" s="4">
        <f t="shared" si="260"/>
        <v>-9.6583307746477693</v>
      </c>
      <c r="BH234" s="4">
        <f t="shared" si="261"/>
        <v>-77.20343876193985</v>
      </c>
      <c r="BI234" s="4">
        <f t="shared" si="262"/>
        <v>-4.7059955520986323</v>
      </c>
      <c r="BJ234" s="4">
        <f t="shared" si="263"/>
        <v>-58.676793717826591</v>
      </c>
      <c r="BK234" s="4">
        <f t="shared" si="264"/>
        <v>2.5727074385274485E-2</v>
      </c>
      <c r="BL234" s="4">
        <f t="shared" si="265"/>
        <v>2.9547727742553085</v>
      </c>
      <c r="BM234" s="4">
        <f t="shared" si="266"/>
        <v>3.2336707203754398</v>
      </c>
      <c r="BN234" s="4">
        <f t="shared" si="267"/>
        <v>-12.508572625699751</v>
      </c>
      <c r="BO234" s="4">
        <f t="shared" si="268"/>
        <v>-60.854146592963737</v>
      </c>
      <c r="BP234" s="4">
        <f t="shared" si="269"/>
        <v>-18.610877106781846</v>
      </c>
      <c r="BQ234" s="4">
        <f t="shared" si="270"/>
        <v>-29.627907107031735</v>
      </c>
      <c r="BR234" s="4">
        <f t="shared" si="271"/>
        <v>79.639611639901176</v>
      </c>
      <c r="BS234" s="4">
        <f t="shared" si="272"/>
        <v>327.11151559640598</v>
      </c>
      <c r="BT234" s="4">
        <f t="shared" si="273"/>
        <v>647.14677686560231</v>
      </c>
      <c r="BU234" s="4">
        <f t="shared" si="274"/>
        <v>20.842143718092551</v>
      </c>
      <c r="BV234" s="4">
        <f t="shared" si="275"/>
        <v>160.13426099986532</v>
      </c>
      <c r="BW234" s="4">
        <f t="shared" si="276"/>
        <v>-407.40577460581221</v>
      </c>
      <c r="BX234" s="4">
        <f t="shared" si="277"/>
        <v>-1118.657440996358</v>
      </c>
      <c r="BY234" s="4">
        <f t="shared" si="278"/>
        <v>-1595.888519451192</v>
      </c>
      <c r="BZ234" s="6">
        <f t="shared" si="279"/>
        <v>-2.5810693116118273</v>
      </c>
      <c r="CA234" s="7"/>
      <c r="CB234" s="6">
        <v>-2.5810668320882542</v>
      </c>
      <c r="CC234" s="6"/>
    </row>
    <row r="235" spans="1:81" x14ac:dyDescent="0.3">
      <c r="A235" s="4">
        <v>233</v>
      </c>
      <c r="B235" s="4">
        <v>57402047</v>
      </c>
      <c r="C235" s="4">
        <v>2.1520000000000001</v>
      </c>
      <c r="D235" s="4">
        <v>2.8380000000000001</v>
      </c>
      <c r="E235" s="4">
        <v>0.80100000000000005</v>
      </c>
      <c r="F235" s="4">
        <v>3.1</v>
      </c>
      <c r="H235" s="6">
        <v>-2618.81325553337</v>
      </c>
      <c r="I235" s="4">
        <f t="shared" si="210"/>
        <v>99.880350119200003</v>
      </c>
      <c r="J235" s="4">
        <f t="shared" si="211"/>
        <v>-1396.660004718</v>
      </c>
      <c r="K235" s="4">
        <f t="shared" si="212"/>
        <v>1897.4301066</v>
      </c>
      <c r="L235" s="4">
        <f t="shared" si="213"/>
        <v>10017.668971999999</v>
      </c>
      <c r="M235" s="4">
        <f t="shared" si="214"/>
        <v>17.893941298945283</v>
      </c>
      <c r="N235" s="4">
        <f t="shared" si="215"/>
        <v>15.44991011207952</v>
      </c>
      <c r="O235" s="4">
        <f t="shared" si="216"/>
        <v>-118.646036325216</v>
      </c>
      <c r="P235" s="4">
        <f t="shared" si="217"/>
        <v>-255.79034590479998</v>
      </c>
      <c r="Q235" s="4">
        <f t="shared" si="218"/>
        <v>-96.658639938630003</v>
      </c>
      <c r="R235" s="4">
        <f t="shared" si="219"/>
        <v>411.35738764546801</v>
      </c>
      <c r="S235" s="4">
        <f t="shared" si="220"/>
        <v>3722.3875999926008</v>
      </c>
      <c r="T235" s="4">
        <f t="shared" si="221"/>
        <v>-266.309792872326</v>
      </c>
      <c r="U235" s="4">
        <f t="shared" si="222"/>
        <v>-5105.2916162610009</v>
      </c>
      <c r="V235" s="4">
        <f t="shared" si="223"/>
        <v>-14287.164897000001</v>
      </c>
      <c r="W235" s="4">
        <f t="shared" si="224"/>
        <v>-0.36064430733070091</v>
      </c>
      <c r="X235" s="4">
        <f t="shared" si="225"/>
        <v>1.7439313630177913</v>
      </c>
      <c r="Y235" s="4">
        <f t="shared" si="226"/>
        <v>2.2063723495913985</v>
      </c>
      <c r="Z235" s="4">
        <f t="shared" si="227"/>
        <v>-37.652184320932548</v>
      </c>
      <c r="AA235" s="4">
        <f t="shared" si="228"/>
        <v>4.0270516908958225</v>
      </c>
      <c r="AB235" s="4">
        <f t="shared" si="229"/>
        <v>-52.715230768822259</v>
      </c>
      <c r="AC235" s="4">
        <f t="shared" si="230"/>
        <v>0.65710063385015827</v>
      </c>
      <c r="AD235" s="4">
        <f t="shared" si="231"/>
        <v>113.28591135973122</v>
      </c>
      <c r="AE235" s="4">
        <f t="shared" si="232"/>
        <v>106.38271080741097</v>
      </c>
      <c r="AF235" s="4">
        <f t="shared" si="233"/>
        <v>247.04470284208807</v>
      </c>
      <c r="AG235" s="4">
        <f t="shared" si="234"/>
        <v>-9.8955889982819318</v>
      </c>
      <c r="AH235" s="4">
        <f t="shared" si="235"/>
        <v>101.941325517884</v>
      </c>
      <c r="AI235" s="4">
        <f t="shared" si="236"/>
        <v>120.35289695718367</v>
      </c>
      <c r="AJ235" s="4">
        <f t="shared" si="237"/>
        <v>-26.770207560384975</v>
      </c>
      <c r="AK235" s="4">
        <f t="shared" si="238"/>
        <v>-874.96029781245363</v>
      </c>
      <c r="AL235" s="4">
        <f t="shared" si="239"/>
        <v>-3180.3749388021606</v>
      </c>
      <c r="AM235" s="4">
        <f t="shared" si="240"/>
        <v>-154.70050384403041</v>
      </c>
      <c r="AN235" s="4">
        <f t="shared" si="241"/>
        <v>643.17889581947009</v>
      </c>
      <c r="AO235" s="4">
        <f t="shared" si="242"/>
        <v>4601.5131150817215</v>
      </c>
      <c r="AP235" s="4">
        <f t="shared" si="243"/>
        <v>8921.7421864880016</v>
      </c>
      <c r="AQ235" s="4">
        <f t="shared" si="244"/>
        <v>1.5827686451058776E-3</v>
      </c>
      <c r="AR235" s="4">
        <f t="shared" si="245"/>
        <v>-3.8764292992298041E-2</v>
      </c>
      <c r="AS235" s="4">
        <f t="shared" si="246"/>
        <v>2.6191882649208784E-3</v>
      </c>
      <c r="AT235" s="4">
        <f t="shared" si="247"/>
        <v>0.41011770498640654</v>
      </c>
      <c r="AU235" s="4">
        <f t="shared" si="248"/>
        <v>0.15179621462819951</v>
      </c>
      <c r="AV235" s="4">
        <f t="shared" si="249"/>
        <v>-3.1549894133082604E-3</v>
      </c>
      <c r="AW235" s="4">
        <f t="shared" si="250"/>
        <v>-1.9778670826400344</v>
      </c>
      <c r="AX235" s="4">
        <f t="shared" si="251"/>
        <v>-3.8467923906570389</v>
      </c>
      <c r="AY235" s="4">
        <f t="shared" si="252"/>
        <v>4.5373385324261077</v>
      </c>
      <c r="AZ235" s="4">
        <f t="shared" si="253"/>
        <v>16.842455418903015</v>
      </c>
      <c r="BA235" s="4">
        <f t="shared" si="254"/>
        <v>-4.2531165033579316E-2</v>
      </c>
      <c r="BB235" s="4">
        <f t="shared" si="255"/>
        <v>-3.531928994621385</v>
      </c>
      <c r="BC235" s="4">
        <f t="shared" si="256"/>
        <v>-1.0142438410809009</v>
      </c>
      <c r="BD235" s="4">
        <f t="shared" si="257"/>
        <v>19.66191498116288</v>
      </c>
      <c r="BE235" s="4">
        <f t="shared" si="258"/>
        <v>28.576598901028266</v>
      </c>
      <c r="BF235" s="4">
        <f t="shared" si="259"/>
        <v>-10.382325064098797</v>
      </c>
      <c r="BG235" s="4">
        <f t="shared" si="260"/>
        <v>-10.612073514209486</v>
      </c>
      <c r="BH235" s="4">
        <f t="shared" si="261"/>
        <v>-92.315277621721563</v>
      </c>
      <c r="BI235" s="4">
        <f t="shared" si="262"/>
        <v>-6.1238875549179781</v>
      </c>
      <c r="BJ235" s="4">
        <f t="shared" si="263"/>
        <v>-83.096136140365772</v>
      </c>
      <c r="BK235" s="4">
        <f t="shared" si="264"/>
        <v>3.9409246587104103E-2</v>
      </c>
      <c r="BL235" s="4">
        <f t="shared" si="265"/>
        <v>3.9839061461696788</v>
      </c>
      <c r="BM235" s="4">
        <f t="shared" si="266"/>
        <v>4.7448180638465169</v>
      </c>
      <c r="BN235" s="4">
        <f t="shared" si="267"/>
        <v>-14.844652796965674</v>
      </c>
      <c r="BO235" s="4">
        <f t="shared" si="268"/>
        <v>-78.594331869408094</v>
      </c>
      <c r="BP235" s="4">
        <f t="shared" si="269"/>
        <v>-26.15812745590776</v>
      </c>
      <c r="BQ235" s="4">
        <f t="shared" si="270"/>
        <v>-30.948566945436689</v>
      </c>
      <c r="BR235" s="4">
        <f t="shared" si="271"/>
        <v>90.533114986197091</v>
      </c>
      <c r="BS235" s="4">
        <f t="shared" si="272"/>
        <v>404.68110142386257</v>
      </c>
      <c r="BT235" s="4">
        <f t="shared" si="273"/>
        <v>871.28180103781096</v>
      </c>
      <c r="BU235" s="4">
        <f t="shared" si="274"/>
        <v>19.162811868600723</v>
      </c>
      <c r="BV235" s="4">
        <f t="shared" si="275"/>
        <v>160.22853790219656</v>
      </c>
      <c r="BW235" s="4">
        <f t="shared" si="276"/>
        <v>-443.63065709905982</v>
      </c>
      <c r="BX235" s="4">
        <f t="shared" si="277"/>
        <v>-1325.6541812277328</v>
      </c>
      <c r="BY235" s="4">
        <f t="shared" si="278"/>
        <v>-2058.1377612043107</v>
      </c>
      <c r="BZ235" s="6">
        <f t="shared" si="279"/>
        <v>-2.7330531538591458</v>
      </c>
      <c r="CA235" s="7"/>
      <c r="CB235" s="6">
        <v>-2.733050719519269</v>
      </c>
      <c r="CC235" s="6"/>
    </row>
    <row r="236" spans="1:81" x14ac:dyDescent="0.3">
      <c r="A236" s="4">
        <v>234</v>
      </c>
      <c r="B236" s="4">
        <v>57403788</v>
      </c>
      <c r="C236" s="4">
        <v>2.008</v>
      </c>
      <c r="D236" s="4">
        <v>2.7890000000000001</v>
      </c>
      <c r="E236" s="4">
        <v>0.70799999999999996</v>
      </c>
      <c r="F236" s="4">
        <v>2.944</v>
      </c>
      <c r="H236" s="6">
        <v>-2618.81325553337</v>
      </c>
      <c r="I236" s="4">
        <f t="shared" si="210"/>
        <v>93.196906616800007</v>
      </c>
      <c r="J236" s="4">
        <f t="shared" si="211"/>
        <v>-1372.5457199290001</v>
      </c>
      <c r="K236" s="4">
        <f t="shared" si="212"/>
        <v>1677.1292327999997</v>
      </c>
      <c r="L236" s="4">
        <f t="shared" si="213"/>
        <v>9513.5540172799992</v>
      </c>
      <c r="M236" s="4">
        <f t="shared" si="214"/>
        <v>15.579334113332481</v>
      </c>
      <c r="N236" s="4">
        <f t="shared" si="215"/>
        <v>14.167183582540238</v>
      </c>
      <c r="O236" s="4">
        <f t="shared" si="216"/>
        <v>-97.853286659711983</v>
      </c>
      <c r="P236" s="4">
        <f t="shared" si="217"/>
        <v>-226.66355841740798</v>
      </c>
      <c r="Q236" s="4">
        <f t="shared" si="218"/>
        <v>-93.349699933857508</v>
      </c>
      <c r="R236" s="4">
        <f t="shared" si="219"/>
        <v>357.31904619463194</v>
      </c>
      <c r="S236" s="4">
        <f t="shared" si="220"/>
        <v>3474.0321062334724</v>
      </c>
      <c r="T236" s="4">
        <f t="shared" si="221"/>
        <v>-208.06001239766397</v>
      </c>
      <c r="U236" s="4">
        <f t="shared" si="222"/>
        <v>-4285.4596234291203</v>
      </c>
      <c r="V236" s="4">
        <f t="shared" si="223"/>
        <v>-12885.411156787199</v>
      </c>
      <c r="W236" s="4">
        <f t="shared" si="224"/>
        <v>-0.29298366392613123</v>
      </c>
      <c r="X236" s="4">
        <f t="shared" si="225"/>
        <v>1.4921359510124457</v>
      </c>
      <c r="Y236" s="4">
        <f t="shared" si="226"/>
        <v>1.697940356867562</v>
      </c>
      <c r="Z236" s="4">
        <f t="shared" si="227"/>
        <v>-31.132154053768229</v>
      </c>
      <c r="AA236" s="4">
        <f t="shared" si="228"/>
        <v>3.6289492269485457</v>
      </c>
      <c r="AB236" s="4">
        <f t="shared" si="229"/>
        <v>-42.726214678313802</v>
      </c>
      <c r="AC236" s="4">
        <f t="shared" si="230"/>
        <v>0.57222333291365335</v>
      </c>
      <c r="AD236" s="4">
        <f t="shared" si="231"/>
        <v>82.584553960028373</v>
      </c>
      <c r="AE236" s="4">
        <f t="shared" si="232"/>
        <v>83.323853675005125</v>
      </c>
      <c r="AF236" s="4">
        <f t="shared" si="233"/>
        <v>207.89747337253357</v>
      </c>
      <c r="AG236" s="4">
        <f t="shared" si="234"/>
        <v>-9.3918255805218838</v>
      </c>
      <c r="AH236" s="4">
        <f t="shared" si="235"/>
        <v>87.020838606847036</v>
      </c>
      <c r="AI236" s="4">
        <f t="shared" si="236"/>
        <v>110.3836896479429</v>
      </c>
      <c r="AJ236" s="4">
        <f t="shared" si="237"/>
        <v>-20.553668362390919</v>
      </c>
      <c r="AK236" s="4">
        <f t="shared" si="238"/>
        <v>-721.77414926757274</v>
      </c>
      <c r="AL236" s="4">
        <f t="shared" si="239"/>
        <v>-2818.8156198972952</v>
      </c>
      <c r="AM236" s="4">
        <f t="shared" si="240"/>
        <v>-106.83017823557144</v>
      </c>
      <c r="AN236" s="4">
        <f t="shared" si="241"/>
        <v>477.20982970686862</v>
      </c>
      <c r="AO236" s="4">
        <f t="shared" si="242"/>
        <v>3668.205261338444</v>
      </c>
      <c r="AP236" s="4">
        <f t="shared" si="243"/>
        <v>7641.4892182203266</v>
      </c>
      <c r="AQ236" s="4">
        <f t="shared" si="244"/>
        <v>1.1997843816476288E-3</v>
      </c>
      <c r="AR236" s="4">
        <f t="shared" si="245"/>
        <v>-3.0947980534168012E-2</v>
      </c>
      <c r="AS236" s="4">
        <f t="shared" si="246"/>
        <v>1.8807530825062648E-3</v>
      </c>
      <c r="AT236" s="4">
        <f t="shared" si="247"/>
        <v>0.31640909216996732</v>
      </c>
      <c r="AU236" s="4">
        <f t="shared" si="248"/>
        <v>0.12763684803834127</v>
      </c>
      <c r="AV236" s="4">
        <f t="shared" si="249"/>
        <v>-2.3860396374590586E-3</v>
      </c>
      <c r="AW236" s="4">
        <f t="shared" si="250"/>
        <v>-1.6071344868979389</v>
      </c>
      <c r="AX236" s="4">
        <f t="shared" si="251"/>
        <v>-2.6166348087916109</v>
      </c>
      <c r="AY236" s="4">
        <f t="shared" si="252"/>
        <v>3.316048850362936</v>
      </c>
      <c r="AZ236" s="4">
        <f t="shared" si="253"/>
        <v>13.22514715506523</v>
      </c>
      <c r="BA236" s="4">
        <f t="shared" si="254"/>
        <v>-3.7664923543274977E-2</v>
      </c>
      <c r="BB236" s="4">
        <f t="shared" si="255"/>
        <v>-2.8132374709767909</v>
      </c>
      <c r="BC236" s="4">
        <f t="shared" si="256"/>
        <v>-0.86798491753793983</v>
      </c>
      <c r="BD236" s="4">
        <f t="shared" si="257"/>
        <v>14.085908459363813</v>
      </c>
      <c r="BE236" s="4">
        <f t="shared" si="258"/>
        <v>21.996063116510907</v>
      </c>
      <c r="BF236" s="4">
        <f t="shared" si="259"/>
        <v>-8.5862674207613736</v>
      </c>
      <c r="BG236" s="4">
        <f t="shared" si="260"/>
        <v>-6.8379184361440446</v>
      </c>
      <c r="BH236" s="4">
        <f t="shared" si="261"/>
        <v>-63.910559065891711</v>
      </c>
      <c r="BI236" s="4">
        <f t="shared" si="262"/>
        <v>-4.5551387949814819</v>
      </c>
      <c r="BJ236" s="4">
        <f t="shared" si="263"/>
        <v>-66.409560658028738</v>
      </c>
      <c r="BK236" s="4">
        <f t="shared" si="264"/>
        <v>3.6757217221298877E-2</v>
      </c>
      <c r="BL236" s="4">
        <f t="shared" si="265"/>
        <v>3.3420905290921641</v>
      </c>
      <c r="BM236" s="4">
        <f t="shared" si="266"/>
        <v>4.2766533138929796</v>
      </c>
      <c r="BN236" s="4">
        <f t="shared" si="267"/>
        <v>-11.200664114238689</v>
      </c>
      <c r="BO236" s="4">
        <f t="shared" si="268"/>
        <v>-63.714800277090873</v>
      </c>
      <c r="BP236" s="4">
        <f t="shared" si="269"/>
        <v>-22.784060307774649</v>
      </c>
      <c r="BQ236" s="4">
        <f t="shared" si="270"/>
        <v>-21.002881983034442</v>
      </c>
      <c r="BR236" s="4">
        <f t="shared" si="271"/>
        <v>66.011740182476672</v>
      </c>
      <c r="BS236" s="4">
        <f t="shared" si="272"/>
        <v>317.0312052584294</v>
      </c>
      <c r="BT236" s="4">
        <f t="shared" si="273"/>
        <v>733.36993435471322</v>
      </c>
      <c r="BU236" s="4">
        <f t="shared" si="274"/>
        <v>11.696669059608533</v>
      </c>
      <c r="BV236" s="4">
        <f t="shared" si="275"/>
        <v>105.07955051267994</v>
      </c>
      <c r="BW236" s="4">
        <f t="shared" si="276"/>
        <v>-312.59012727388034</v>
      </c>
      <c r="BX236" s="4">
        <f t="shared" si="277"/>
        <v>-1003.5969275042419</v>
      </c>
      <c r="BY236" s="4">
        <f t="shared" si="278"/>
        <v>-1674.0903314219552</v>
      </c>
      <c r="BZ236" s="6">
        <f t="shared" si="279"/>
        <v>-2.5296460090307846</v>
      </c>
      <c r="CA236" s="7"/>
      <c r="CB236" s="6">
        <v>-2.529643352401763</v>
      </c>
      <c r="CC236" s="6"/>
    </row>
    <row r="237" spans="1:81" x14ac:dyDescent="0.3">
      <c r="A237" s="4">
        <v>235</v>
      </c>
      <c r="B237" s="4">
        <v>57403787</v>
      </c>
      <c r="C237" s="4">
        <v>2.1240000000000001</v>
      </c>
      <c r="D237" s="4">
        <v>3.024</v>
      </c>
      <c r="E237" s="4">
        <v>0.72</v>
      </c>
      <c r="F237" s="4">
        <v>3.101</v>
      </c>
      <c r="H237" s="6">
        <v>-2618.81325553337</v>
      </c>
      <c r="I237" s="4">
        <f t="shared" si="210"/>
        <v>98.58079166040001</v>
      </c>
      <c r="J237" s="4">
        <f t="shared" si="211"/>
        <v>-1488.1958612640001</v>
      </c>
      <c r="K237" s="4">
        <f t="shared" si="212"/>
        <v>1705.5551519999999</v>
      </c>
      <c r="L237" s="4">
        <f t="shared" si="213"/>
        <v>10020.90047812</v>
      </c>
      <c r="M237" s="4">
        <f t="shared" si="214"/>
        <v>17.431328970688323</v>
      </c>
      <c r="N237" s="4">
        <f t="shared" si="215"/>
        <v>16.248287620091517</v>
      </c>
      <c r="O237" s="4">
        <f t="shared" si="216"/>
        <v>-105.26050756223999</v>
      </c>
      <c r="P237" s="4">
        <f t="shared" si="217"/>
        <v>-252.54365815299602</v>
      </c>
      <c r="Q237" s="4">
        <f t="shared" si="218"/>
        <v>-109.74366793152001</v>
      </c>
      <c r="R237" s="4">
        <f t="shared" si="219"/>
        <v>393.99315556607996</v>
      </c>
      <c r="S237" s="4">
        <f t="shared" si="220"/>
        <v>3967.6290456106085</v>
      </c>
      <c r="T237" s="4">
        <f t="shared" si="221"/>
        <v>-215.17266435839997</v>
      </c>
      <c r="U237" s="4">
        <f t="shared" si="222"/>
        <v>-4590.5065029432008</v>
      </c>
      <c r="V237" s="4">
        <f t="shared" si="223"/>
        <v>-14296.3839094377</v>
      </c>
      <c r="W237" s="4">
        <f t="shared" si="224"/>
        <v>-0.34674947932062244</v>
      </c>
      <c r="X237" s="4">
        <f t="shared" si="225"/>
        <v>1.8101863040303674</v>
      </c>
      <c r="Y237" s="4">
        <f t="shared" si="226"/>
        <v>1.9319828968119745</v>
      </c>
      <c r="Z237" s="4">
        <f t="shared" si="227"/>
        <v>-36.690593703142248</v>
      </c>
      <c r="AA237" s="4">
        <f t="shared" si="228"/>
        <v>4.5127184754824201</v>
      </c>
      <c r="AB237" s="4">
        <f t="shared" si="229"/>
        <v>-49.833080386306563</v>
      </c>
      <c r="AC237" s="4">
        <f t="shared" si="230"/>
        <v>0.6912793752729276</v>
      </c>
      <c r="AD237" s="4">
        <f t="shared" si="231"/>
        <v>90.34166886031872</v>
      </c>
      <c r="AE237" s="4">
        <f t="shared" si="232"/>
        <v>94.411163723464242</v>
      </c>
      <c r="AF237" s="4">
        <f t="shared" si="233"/>
        <v>243.98770184623231</v>
      </c>
      <c r="AG237" s="4">
        <f t="shared" si="234"/>
        <v>-11.971534907248166</v>
      </c>
      <c r="AH237" s="4">
        <f t="shared" si="235"/>
        <v>104.03729408688538</v>
      </c>
      <c r="AI237" s="4">
        <f t="shared" si="236"/>
        <v>136.68958099977951</v>
      </c>
      <c r="AJ237" s="4">
        <f t="shared" si="237"/>
        <v>-23.047355187118075</v>
      </c>
      <c r="AK237" s="4">
        <f t="shared" si="238"/>
        <v>-838.29677498574335</v>
      </c>
      <c r="AL237" s="4">
        <f t="shared" si="239"/>
        <v>-3391.0005724546254</v>
      </c>
      <c r="AM237" s="4">
        <f t="shared" si="240"/>
        <v>-112.35480988262398</v>
      </c>
      <c r="AN237" s="4">
        <f t="shared" si="241"/>
        <v>519.84254342240638</v>
      </c>
      <c r="AO237" s="4">
        <f t="shared" si="242"/>
        <v>4138.8605052098774</v>
      </c>
      <c r="AP237" s="4">
        <f t="shared" si="243"/>
        <v>8930.3789159821608</v>
      </c>
      <c r="AQ237" s="4">
        <f t="shared" si="244"/>
        <v>1.5019878511939335E-3</v>
      </c>
      <c r="AR237" s="4">
        <f t="shared" si="245"/>
        <v>-3.971348497866873E-2</v>
      </c>
      <c r="AS237" s="4">
        <f t="shared" si="246"/>
        <v>2.263619532948478E-3</v>
      </c>
      <c r="AT237" s="4">
        <f t="shared" si="247"/>
        <v>0.39444397527844949</v>
      </c>
      <c r="AU237" s="4">
        <f t="shared" si="248"/>
        <v>0.16788976601998845</v>
      </c>
      <c r="AV237" s="4">
        <f t="shared" si="249"/>
        <v>-2.9436879710078526E-3</v>
      </c>
      <c r="AW237" s="4">
        <f t="shared" si="250"/>
        <v>-2.0536719037058573</v>
      </c>
      <c r="AX237" s="4">
        <f t="shared" si="251"/>
        <v>-3.0277722188680887</v>
      </c>
      <c r="AY237" s="4">
        <f t="shared" si="252"/>
        <v>3.9743464899521213</v>
      </c>
      <c r="AZ237" s="4">
        <f t="shared" si="253"/>
        <v>16.417614056714136</v>
      </c>
      <c r="BA237" s="4">
        <f t="shared" si="254"/>
        <v>-5.0784094335594651E-2</v>
      </c>
      <c r="BB237" s="4">
        <f t="shared" si="255"/>
        <v>-3.5576480423610355</v>
      </c>
      <c r="BC237" s="4">
        <f t="shared" si="256"/>
        <v>-1.1369293772067273</v>
      </c>
      <c r="BD237" s="4">
        <f t="shared" si="257"/>
        <v>16.707344037178025</v>
      </c>
      <c r="BE237" s="4">
        <f t="shared" si="258"/>
        <v>27.022917354317631</v>
      </c>
      <c r="BF237" s="4">
        <f t="shared" si="259"/>
        <v>-10.925879543805282</v>
      </c>
      <c r="BG237" s="4">
        <f t="shared" si="260"/>
        <v>-7.6069828356004443</v>
      </c>
      <c r="BH237" s="4">
        <f t="shared" si="261"/>
        <v>-73.64204813359747</v>
      </c>
      <c r="BI237" s="4">
        <f t="shared" si="262"/>
        <v>-5.4365023271976298</v>
      </c>
      <c r="BJ237" s="4">
        <f t="shared" si="263"/>
        <v>-82.094354569379462</v>
      </c>
      <c r="BK237" s="4">
        <f t="shared" si="264"/>
        <v>5.0801404002108821E-2</v>
      </c>
      <c r="BL237" s="4">
        <f t="shared" si="265"/>
        <v>4.332287465019677</v>
      </c>
      <c r="BM237" s="4">
        <f t="shared" si="266"/>
        <v>5.7420612920692333</v>
      </c>
      <c r="BN237" s="4">
        <f t="shared" si="267"/>
        <v>-13.617857847521378</v>
      </c>
      <c r="BO237" s="4">
        <f t="shared" si="268"/>
        <v>-80.236147953672329</v>
      </c>
      <c r="BP237" s="4">
        <f t="shared" si="269"/>
        <v>-29.718411215996053</v>
      </c>
      <c r="BQ237" s="4">
        <f t="shared" si="270"/>
        <v>-23.950240611500849</v>
      </c>
      <c r="BR237" s="4">
        <f t="shared" si="271"/>
        <v>77.968089446132552</v>
      </c>
      <c r="BS237" s="4">
        <f t="shared" si="272"/>
        <v>387.84879296935117</v>
      </c>
      <c r="BT237" s="4">
        <f t="shared" si="273"/>
        <v>929.28356341199731</v>
      </c>
      <c r="BU237" s="4">
        <f t="shared" si="274"/>
        <v>12.510053221367805</v>
      </c>
      <c r="BV237" s="4">
        <f t="shared" si="275"/>
        <v>116.40721075393533</v>
      </c>
      <c r="BW237" s="4">
        <f t="shared" si="276"/>
        <v>-358.67545337379443</v>
      </c>
      <c r="BX237" s="4">
        <f t="shared" si="277"/>
        <v>-1192.7527966302987</v>
      </c>
      <c r="BY237" s="4">
        <f t="shared" si="278"/>
        <v>-2060.7947081055981</v>
      </c>
      <c r="BZ237" s="6">
        <f t="shared" si="279"/>
        <v>-2.8173821456330188</v>
      </c>
      <c r="CA237" s="7"/>
      <c r="CB237" s="6">
        <v>-2.817379578498731</v>
      </c>
      <c r="CC237" s="6"/>
    </row>
    <row r="238" spans="1:81" x14ac:dyDescent="0.3">
      <c r="A238" s="4">
        <v>236</v>
      </c>
      <c r="B238" s="4">
        <v>72545291</v>
      </c>
      <c r="C238" s="4">
        <v>1.915</v>
      </c>
      <c r="D238" s="4">
        <v>2.3620000000000001</v>
      </c>
      <c r="E238" s="4">
        <v>0.46700000000000003</v>
      </c>
      <c r="F238" s="4">
        <v>3.1259999999999999</v>
      </c>
      <c r="H238" s="6">
        <v>-2618.81325553337</v>
      </c>
      <c r="I238" s="4">
        <f t="shared" si="210"/>
        <v>88.8805160215</v>
      </c>
      <c r="J238" s="4">
        <f t="shared" si="211"/>
        <v>-1162.4069524820002</v>
      </c>
      <c r="K238" s="4">
        <f t="shared" si="212"/>
        <v>1106.2420222000001</v>
      </c>
      <c r="L238" s="4">
        <f t="shared" si="213"/>
        <v>10101.68813112</v>
      </c>
      <c r="M238" s="4">
        <f t="shared" si="214"/>
        <v>14.169646995624502</v>
      </c>
      <c r="N238" s="4">
        <f t="shared" si="215"/>
        <v>11.442474954262099</v>
      </c>
      <c r="O238" s="4">
        <f t="shared" si="216"/>
        <v>-61.555109734939997</v>
      </c>
      <c r="P238" s="4">
        <f t="shared" si="217"/>
        <v>-229.52919861290999</v>
      </c>
      <c r="Q238" s="4">
        <f t="shared" si="218"/>
        <v>-66.953869934630006</v>
      </c>
      <c r="R238" s="4">
        <f t="shared" si="219"/>
        <v>199.60488601364401</v>
      </c>
      <c r="S238" s="4">
        <f t="shared" si="220"/>
        <v>3124.0384814336044</v>
      </c>
      <c r="T238" s="4">
        <f t="shared" si="221"/>
        <v>-90.522359562614014</v>
      </c>
      <c r="U238" s="4">
        <f t="shared" si="222"/>
        <v>-3001.4575021810201</v>
      </c>
      <c r="V238" s="4">
        <f t="shared" si="223"/>
        <v>-14527.825573885199</v>
      </c>
      <c r="W238" s="4">
        <f t="shared" si="224"/>
        <v>-0.25413156754022814</v>
      </c>
      <c r="X238" s="4">
        <f t="shared" si="225"/>
        <v>1.1493436822239771</v>
      </c>
      <c r="Y238" s="4">
        <f t="shared" si="226"/>
        <v>1.0186293685616847</v>
      </c>
      <c r="Z238" s="4">
        <f t="shared" si="227"/>
        <v>-30.065641766463582</v>
      </c>
      <c r="AA238" s="4">
        <f t="shared" si="228"/>
        <v>2.4822682926202866</v>
      </c>
      <c r="AB238" s="4">
        <f t="shared" si="229"/>
        <v>-22.76221336742606</v>
      </c>
      <c r="AC238" s="4">
        <f t="shared" si="230"/>
        <v>0.49074194452404812</v>
      </c>
      <c r="AD238" s="4">
        <f t="shared" si="231"/>
        <v>34.266610105417683</v>
      </c>
      <c r="AE238" s="4">
        <f t="shared" si="232"/>
        <v>55.655643475101975</v>
      </c>
      <c r="AF238" s="4">
        <f t="shared" si="233"/>
        <v>223.54070545106435</v>
      </c>
      <c r="AG238" s="4">
        <f t="shared" si="234"/>
        <v>-5.7048490244208603</v>
      </c>
      <c r="AH238" s="4">
        <f t="shared" si="235"/>
        <v>41.168936207410987</v>
      </c>
      <c r="AI238" s="4">
        <f t="shared" si="236"/>
        <v>84.06569980148322</v>
      </c>
      <c r="AJ238" s="4">
        <f t="shared" si="237"/>
        <v>-7.5733489800492784</v>
      </c>
      <c r="AK238" s="4">
        <f t="shared" si="238"/>
        <v>-428.1219485624016</v>
      </c>
      <c r="AL238" s="4">
        <f t="shared" si="239"/>
        <v>-2691.537186452375</v>
      </c>
      <c r="AM238" s="4">
        <f t="shared" si="240"/>
        <v>-30.658070714038846</v>
      </c>
      <c r="AN238" s="4">
        <f t="shared" si="241"/>
        <v>220.4589804353958</v>
      </c>
      <c r="AO238" s="4">
        <f t="shared" si="242"/>
        <v>2727.9699897200203</v>
      </c>
      <c r="AP238" s="4">
        <f t="shared" si="243"/>
        <v>9148.1127522785519</v>
      </c>
      <c r="AQ238" s="4">
        <f t="shared" si="244"/>
        <v>9.9248392988989052E-4</v>
      </c>
      <c r="AR238" s="4">
        <f t="shared" si="245"/>
        <v>-2.2734159547238821E-2</v>
      </c>
      <c r="AS238" s="4">
        <f t="shared" si="246"/>
        <v>1.0760454480567506E-3</v>
      </c>
      <c r="AT238" s="4">
        <f t="shared" si="247"/>
        <v>0.29141730139091587</v>
      </c>
      <c r="AU238" s="4">
        <f t="shared" si="248"/>
        <v>8.3262408334612889E-2</v>
      </c>
      <c r="AV238" s="4">
        <f t="shared" si="249"/>
        <v>-1.2122795959417566E-3</v>
      </c>
      <c r="AW238" s="4">
        <f t="shared" si="250"/>
        <v>-1.3144525317777991</v>
      </c>
      <c r="AX238" s="4">
        <f t="shared" si="251"/>
        <v>-1.035429418346574</v>
      </c>
      <c r="AY238" s="4">
        <f t="shared" si="252"/>
        <v>2.1123498601231949</v>
      </c>
      <c r="AZ238" s="4">
        <f t="shared" si="253"/>
        <v>13.561664267751512</v>
      </c>
      <c r="BA238" s="4">
        <f t="shared" si="254"/>
        <v>-2.1819073087516676E-2</v>
      </c>
      <c r="BB238" s="4">
        <f t="shared" si="255"/>
        <v>-1.2692811899864156</v>
      </c>
      <c r="BC238" s="4">
        <f t="shared" si="256"/>
        <v>-0.63042173029578563</v>
      </c>
      <c r="BD238" s="4">
        <f t="shared" si="257"/>
        <v>4.9498103142315619</v>
      </c>
      <c r="BE238" s="4">
        <f t="shared" si="258"/>
        <v>12.442744888051308</v>
      </c>
      <c r="BF238" s="4">
        <f t="shared" si="259"/>
        <v>-7.8188556509703258</v>
      </c>
      <c r="BG238" s="4">
        <f t="shared" si="260"/>
        <v>-1.8714570074305268</v>
      </c>
      <c r="BH238" s="4">
        <f t="shared" si="261"/>
        <v>-28.15763015204773</v>
      </c>
      <c r="BI238" s="4">
        <f t="shared" si="262"/>
        <v>-3.230670329960958</v>
      </c>
      <c r="BJ238" s="4">
        <f t="shared" si="263"/>
        <v>-75.820942906720191</v>
      </c>
      <c r="BK238" s="4">
        <f t="shared" si="264"/>
        <v>1.8908981670981182E-2</v>
      </c>
      <c r="BL238" s="4">
        <f t="shared" si="265"/>
        <v>1.3390474586966592</v>
      </c>
      <c r="BM238" s="4">
        <f t="shared" si="266"/>
        <v>2.7583498658483441</v>
      </c>
      <c r="BN238" s="4">
        <f t="shared" si="267"/>
        <v>-3.4952140507748415</v>
      </c>
      <c r="BO238" s="4">
        <f t="shared" si="268"/>
        <v>-32.006477122556092</v>
      </c>
      <c r="BP238" s="4">
        <f t="shared" si="269"/>
        <v>-18.424521409672444</v>
      </c>
      <c r="BQ238" s="4">
        <f t="shared" si="270"/>
        <v>-5.1045932244522874</v>
      </c>
      <c r="BR238" s="4">
        <f t="shared" si="271"/>
        <v>25.826822301268376</v>
      </c>
      <c r="BS238" s="4">
        <f t="shared" si="272"/>
        <v>199.67300304041197</v>
      </c>
      <c r="BT238" s="4">
        <f t="shared" si="273"/>
        <v>743.54624456863826</v>
      </c>
      <c r="BU238" s="4">
        <f t="shared" si="274"/>
        <v>2.2140972567897119</v>
      </c>
      <c r="BV238" s="4">
        <f t="shared" si="275"/>
        <v>32.019920037363732</v>
      </c>
      <c r="BW238" s="4">
        <f t="shared" si="276"/>
        <v>-153.33625041613993</v>
      </c>
      <c r="BX238" s="4">
        <f t="shared" si="277"/>
        <v>-792.49485243982656</v>
      </c>
      <c r="BY238" s="4">
        <f t="shared" si="278"/>
        <v>-2128.0584890658411</v>
      </c>
      <c r="BZ238" s="6">
        <f t="shared" si="279"/>
        <v>-2.5703459394653692</v>
      </c>
      <c r="CA238" s="7"/>
      <c r="CB238" s="6">
        <v>-2.5703418710509141</v>
      </c>
      <c r="CC238" s="6"/>
    </row>
    <row r="239" spans="1:81" x14ac:dyDescent="0.3">
      <c r="A239" s="4">
        <v>237</v>
      </c>
      <c r="B239" s="4">
        <v>72545794</v>
      </c>
      <c r="C239" s="4">
        <v>2.2240000000000002</v>
      </c>
      <c r="D239" s="4">
        <v>2.8220000000000001</v>
      </c>
      <c r="E239" s="4">
        <v>0.57499999999999996</v>
      </c>
      <c r="F239" s="4">
        <v>2.9649999999999999</v>
      </c>
      <c r="H239" s="6">
        <v>-2618.81325553337</v>
      </c>
      <c r="I239" s="4">
        <f t="shared" si="210"/>
        <v>103.22207187040001</v>
      </c>
      <c r="J239" s="4">
        <f t="shared" si="211"/>
        <v>-1388.7859525420001</v>
      </c>
      <c r="K239" s="4">
        <f t="shared" si="212"/>
        <v>1362.0752949999999</v>
      </c>
      <c r="L239" s="4">
        <f t="shared" si="213"/>
        <v>9581.4156457999998</v>
      </c>
      <c r="M239" s="4">
        <f t="shared" si="214"/>
        <v>19.111335655224327</v>
      </c>
      <c r="N239" s="4">
        <f t="shared" si="215"/>
        <v>15.876804285818562</v>
      </c>
      <c r="O239" s="4">
        <f t="shared" si="216"/>
        <v>-88.019942110399995</v>
      </c>
      <c r="P239" s="4">
        <f t="shared" si="217"/>
        <v>-252.83644132263998</v>
      </c>
      <c r="Q239" s="4">
        <f t="shared" si="218"/>
        <v>-95.571833227430005</v>
      </c>
      <c r="R239" s="4">
        <f t="shared" si="219"/>
        <v>293.62920427289998</v>
      </c>
      <c r="S239" s="4">
        <f t="shared" si="220"/>
        <v>3540.2115526934099</v>
      </c>
      <c r="T239" s="4">
        <f t="shared" si="221"/>
        <v>-137.23275878374997</v>
      </c>
      <c r="U239" s="4">
        <f t="shared" si="222"/>
        <v>-3505.2491016362501</v>
      </c>
      <c r="V239" s="4">
        <f t="shared" si="223"/>
        <v>-13069.893987682497</v>
      </c>
      <c r="W239" s="4">
        <f t="shared" si="224"/>
        <v>-0.39806741550090258</v>
      </c>
      <c r="X239" s="4">
        <f t="shared" si="225"/>
        <v>1.8520769990393962</v>
      </c>
      <c r="Y239" s="4">
        <f t="shared" si="226"/>
        <v>1.6916058044946243</v>
      </c>
      <c r="Z239" s="4">
        <f t="shared" si="227"/>
        <v>-38.462562214808237</v>
      </c>
      <c r="AA239" s="4">
        <f t="shared" si="228"/>
        <v>4.1149916350885807</v>
      </c>
      <c r="AB239" s="4">
        <f t="shared" si="229"/>
        <v>-38.8873702316628</v>
      </c>
      <c r="AC239" s="4">
        <f t="shared" si="230"/>
        <v>0.64585053578639517</v>
      </c>
      <c r="AD239" s="4">
        <f t="shared" si="231"/>
        <v>60.33079885240199</v>
      </c>
      <c r="AE239" s="4">
        <f t="shared" si="232"/>
        <v>75.485215815648601</v>
      </c>
      <c r="AF239" s="4">
        <f t="shared" si="233"/>
        <v>233.55763545274476</v>
      </c>
      <c r="AG239" s="4">
        <f t="shared" si="234"/>
        <v>-9.7291635478787537</v>
      </c>
      <c r="AH239" s="4">
        <f t="shared" si="235"/>
        <v>72.356048552676143</v>
      </c>
      <c r="AI239" s="4">
        <f t="shared" si="236"/>
        <v>113.81743363959031</v>
      </c>
      <c r="AJ239" s="4">
        <f t="shared" si="237"/>
        <v>-13.717248741208998</v>
      </c>
      <c r="AK239" s="4">
        <f t="shared" si="238"/>
        <v>-597.35334189388686</v>
      </c>
      <c r="AL239" s="4">
        <f t="shared" si="239"/>
        <v>-2893.0034303520533</v>
      </c>
      <c r="AM239" s="4">
        <f t="shared" si="240"/>
        <v>-57.22656969368748</v>
      </c>
      <c r="AN239" s="4">
        <f t="shared" si="241"/>
        <v>317.00451431495929</v>
      </c>
      <c r="AO239" s="4">
        <f t="shared" si="242"/>
        <v>3021.7741419352519</v>
      </c>
      <c r="AP239" s="4">
        <f t="shared" si="243"/>
        <v>7806.1821475228962</v>
      </c>
      <c r="AQ239" s="4">
        <f t="shared" si="244"/>
        <v>1.8054584652913925E-3</v>
      </c>
      <c r="AR239" s="4">
        <f t="shared" si="245"/>
        <v>-4.2545539340520175E-2</v>
      </c>
      <c r="AS239" s="4">
        <f t="shared" si="246"/>
        <v>2.0752938190782746E-3</v>
      </c>
      <c r="AT239" s="4">
        <f t="shared" si="247"/>
        <v>0.43296129112003578</v>
      </c>
      <c r="AU239" s="4">
        <f t="shared" si="248"/>
        <v>0.16030062293103609</v>
      </c>
      <c r="AV239" s="4">
        <f t="shared" si="249"/>
        <v>-2.4052647413398895E-3</v>
      </c>
      <c r="AW239" s="4">
        <f t="shared" si="250"/>
        <v>-2.0090454261781039</v>
      </c>
      <c r="AX239" s="4">
        <f t="shared" si="251"/>
        <v>-2.1171636911597314</v>
      </c>
      <c r="AY239" s="4">
        <f t="shared" si="252"/>
        <v>3.327243211412755</v>
      </c>
      <c r="AZ239" s="4">
        <f t="shared" si="253"/>
        <v>16.455703213001087</v>
      </c>
      <c r="BA239" s="4">
        <f t="shared" si="254"/>
        <v>-4.3214913702811671E-2</v>
      </c>
      <c r="BB239" s="4">
        <f t="shared" si="255"/>
        <v>-2.5907711074772846</v>
      </c>
      <c r="BC239" s="4">
        <f t="shared" si="256"/>
        <v>-0.99125898191991912</v>
      </c>
      <c r="BD239" s="4">
        <f t="shared" si="257"/>
        <v>10.411986714555322</v>
      </c>
      <c r="BE239" s="4">
        <f t="shared" si="258"/>
        <v>20.162575461825302</v>
      </c>
      <c r="BF239" s="4">
        <f t="shared" si="259"/>
        <v>-9.760178585653188</v>
      </c>
      <c r="BG239" s="4">
        <f t="shared" si="260"/>
        <v>-4.0569415583757769</v>
      </c>
      <c r="BH239" s="4">
        <f t="shared" si="261"/>
        <v>-47.021854908216206</v>
      </c>
      <c r="BI239" s="4">
        <f t="shared" si="262"/>
        <v>-4.1560528345096035</v>
      </c>
      <c r="BJ239" s="4">
        <f t="shared" si="263"/>
        <v>-75.138471750093501</v>
      </c>
      <c r="BK239" s="4">
        <f t="shared" si="264"/>
        <v>3.8528012437082863E-2</v>
      </c>
      <c r="BL239" s="4">
        <f t="shared" si="265"/>
        <v>2.8117602186543045</v>
      </c>
      <c r="BM239" s="4">
        <f t="shared" si="266"/>
        <v>4.4618649714129299</v>
      </c>
      <c r="BN239" s="4">
        <f t="shared" si="267"/>
        <v>-7.5636241196793348</v>
      </c>
      <c r="BO239" s="4">
        <f t="shared" si="268"/>
        <v>-53.355451023388973</v>
      </c>
      <c r="BP239" s="4">
        <f t="shared" si="269"/>
        <v>-23.660389833600789</v>
      </c>
      <c r="BQ239" s="4">
        <f t="shared" si="270"/>
        <v>-11.38390199446405</v>
      </c>
      <c r="BR239" s="4">
        <f t="shared" si="271"/>
        <v>44.369623430959969</v>
      </c>
      <c r="BS239" s="4">
        <f t="shared" si="272"/>
        <v>264.25236204569086</v>
      </c>
      <c r="BT239" s="4">
        <f t="shared" si="273"/>
        <v>758.04026133611535</v>
      </c>
      <c r="BU239" s="4">
        <f t="shared" si="274"/>
        <v>5.0886262079409361</v>
      </c>
      <c r="BV239" s="4">
        <f t="shared" si="275"/>
        <v>56.690313598235917</v>
      </c>
      <c r="BW239" s="4">
        <f t="shared" si="276"/>
        <v>-209.13090429648173</v>
      </c>
      <c r="BX239" s="4">
        <f t="shared" si="277"/>
        <v>-832.6348534529551</v>
      </c>
      <c r="BY239" s="4">
        <f t="shared" si="278"/>
        <v>-1722.3700155136191</v>
      </c>
      <c r="BZ239" s="6">
        <f t="shared" si="279"/>
        <v>-2.1477099976739282</v>
      </c>
      <c r="CA239" s="7"/>
      <c r="CB239" s="6">
        <v>-2.147706977794769</v>
      </c>
      <c r="CC239" s="6"/>
    </row>
    <row r="240" spans="1:81" x14ac:dyDescent="0.3">
      <c r="A240" s="4">
        <v>238</v>
      </c>
      <c r="B240" s="4">
        <v>72545296</v>
      </c>
      <c r="C240" s="4">
        <v>1.99</v>
      </c>
      <c r="D240" s="4">
        <v>2.585</v>
      </c>
      <c r="E240" s="4">
        <v>0.41399999999999998</v>
      </c>
      <c r="F240" s="4">
        <v>3.35</v>
      </c>
      <c r="H240" s="6">
        <v>-2618.81325553337</v>
      </c>
      <c r="I240" s="4">
        <f t="shared" si="210"/>
        <v>92.361476179000007</v>
      </c>
      <c r="J240" s="4">
        <f t="shared" si="211"/>
        <v>-1272.1515546850001</v>
      </c>
      <c r="K240" s="4">
        <f t="shared" si="212"/>
        <v>980.69421239999986</v>
      </c>
      <c r="L240" s="4">
        <f t="shared" si="213"/>
        <v>10825.545502000001</v>
      </c>
      <c r="M240" s="4">
        <f t="shared" si="214"/>
        <v>15.301275233282002</v>
      </c>
      <c r="N240" s="4">
        <f t="shared" si="215"/>
        <v>13.013224517870498</v>
      </c>
      <c r="O240" s="4">
        <f t="shared" si="216"/>
        <v>-56.706372776879995</v>
      </c>
      <c r="P240" s="4">
        <f t="shared" si="217"/>
        <v>-255.61013625349997</v>
      </c>
      <c r="Q240" s="4">
        <f t="shared" si="218"/>
        <v>-80.193098230437499</v>
      </c>
      <c r="R240" s="4">
        <f t="shared" si="219"/>
        <v>193.65792877133998</v>
      </c>
      <c r="S240" s="4">
        <f t="shared" si="220"/>
        <v>3663.9780421282508</v>
      </c>
      <c r="T240" s="4">
        <f t="shared" si="221"/>
        <v>-71.141462153495993</v>
      </c>
      <c r="U240" s="4">
        <f t="shared" si="222"/>
        <v>-2851.4876334390001</v>
      </c>
      <c r="V240" s="4">
        <f t="shared" si="223"/>
        <v>-16684.464938249999</v>
      </c>
      <c r="W240" s="4">
        <f t="shared" si="224"/>
        <v>-0.28517503899802504</v>
      </c>
      <c r="X240" s="4">
        <f t="shared" si="225"/>
        <v>1.3583108296257664</v>
      </c>
      <c r="Y240" s="4">
        <f t="shared" si="226"/>
        <v>0.97514287105695296</v>
      </c>
      <c r="Z240" s="4">
        <f t="shared" si="227"/>
        <v>-34.793242826516355</v>
      </c>
      <c r="AA240" s="4">
        <f t="shared" si="228"/>
        <v>3.0895435845957402</v>
      </c>
      <c r="AB240" s="4">
        <f t="shared" si="229"/>
        <v>-22.948954389647547</v>
      </c>
      <c r="AC240" s="4">
        <f t="shared" si="230"/>
        <v>0.59810022397391205</v>
      </c>
      <c r="AD240" s="4">
        <f t="shared" si="231"/>
        <v>27.984809977032167</v>
      </c>
      <c r="AE240" s="4">
        <f t="shared" si="232"/>
        <v>54.945584834037305</v>
      </c>
      <c r="AF240" s="4">
        <f t="shared" si="233"/>
        <v>266.7795784437975</v>
      </c>
      <c r="AG240" s="4">
        <f t="shared" si="234"/>
        <v>-7.4780113159776587</v>
      </c>
      <c r="AH240" s="4">
        <f t="shared" si="235"/>
        <v>43.713382588853662</v>
      </c>
      <c r="AI240" s="4">
        <f t="shared" si="236"/>
        <v>107.90360991625118</v>
      </c>
      <c r="AJ240" s="4">
        <f t="shared" si="237"/>
        <v>-6.5138168735434068</v>
      </c>
      <c r="AK240" s="4">
        <f t="shared" si="238"/>
        <v>-445.13059086163798</v>
      </c>
      <c r="AL240" s="4">
        <f t="shared" si="239"/>
        <v>-3382.92761553945</v>
      </c>
      <c r="AM240" s="4">
        <f t="shared" si="240"/>
        <v>-21.359702685029468</v>
      </c>
      <c r="AN240" s="4">
        <f t="shared" si="241"/>
        <v>185.67376719727858</v>
      </c>
      <c r="AO240" s="4">
        <f t="shared" si="242"/>
        <v>2777.3762384269803</v>
      </c>
      <c r="AP240" s="4">
        <f t="shared" si="243"/>
        <v>11258.978992123002</v>
      </c>
      <c r="AQ240" s="4">
        <f t="shared" si="244"/>
        <v>1.1573392336496505E-3</v>
      </c>
      <c r="AR240" s="4">
        <f t="shared" si="245"/>
        <v>-2.7919809581879798E-2</v>
      </c>
      <c r="AS240" s="4">
        <f t="shared" si="246"/>
        <v>1.0704514370541316E-3</v>
      </c>
      <c r="AT240" s="4">
        <f t="shared" si="247"/>
        <v>0.3504483825158014</v>
      </c>
      <c r="AU240" s="4">
        <f t="shared" si="248"/>
        <v>0.10769086691396632</v>
      </c>
      <c r="AV240" s="4">
        <f t="shared" si="249"/>
        <v>-1.270092953230848E-3</v>
      </c>
      <c r="AW240" s="4">
        <f t="shared" si="250"/>
        <v>-1.6647537082676962</v>
      </c>
      <c r="AX240" s="4">
        <f t="shared" si="251"/>
        <v>-0.87873114047188772</v>
      </c>
      <c r="AY240" s="4">
        <f t="shared" si="252"/>
        <v>2.1670739939980947</v>
      </c>
      <c r="AZ240" s="4">
        <f t="shared" si="253"/>
        <v>16.818732054083345</v>
      </c>
      <c r="BA240" s="4">
        <f t="shared" si="254"/>
        <v>-2.9720941139230364E-2</v>
      </c>
      <c r="BB240" s="4">
        <f t="shared" si="255"/>
        <v>-1.4005122474434635</v>
      </c>
      <c r="BC240" s="4">
        <f t="shared" si="256"/>
        <v>-0.84087727252039224</v>
      </c>
      <c r="BD240" s="4">
        <f t="shared" si="257"/>
        <v>4.4240541052797511</v>
      </c>
      <c r="BE240" s="4">
        <f t="shared" si="258"/>
        <v>13.443750475713554</v>
      </c>
      <c r="BF240" s="4">
        <f t="shared" si="259"/>
        <v>-10.212211821963326</v>
      </c>
      <c r="BG240" s="4">
        <f t="shared" si="260"/>
        <v>-1.3549227483513839</v>
      </c>
      <c r="BH240" s="4">
        <f t="shared" si="261"/>
        <v>-24.643543358749429</v>
      </c>
      <c r="BI240" s="4">
        <f t="shared" si="262"/>
        <v>-3.4180000801196928</v>
      </c>
      <c r="BJ240" s="4">
        <f t="shared" si="263"/>
        <v>-96.970800144721466</v>
      </c>
      <c r="BK240" s="4">
        <f t="shared" si="264"/>
        <v>2.7126312305367335E-2</v>
      </c>
      <c r="BL240" s="4">
        <f t="shared" si="265"/>
        <v>1.5560422777555114</v>
      </c>
      <c r="BM240" s="4">
        <f t="shared" si="266"/>
        <v>3.8747808665225549</v>
      </c>
      <c r="BN240" s="4">
        <f t="shared" si="267"/>
        <v>-3.2900462793515675</v>
      </c>
      <c r="BO240" s="4">
        <f t="shared" si="268"/>
        <v>-36.419877208812593</v>
      </c>
      <c r="BP240" s="4">
        <f t="shared" si="269"/>
        <v>-25.343651651652277</v>
      </c>
      <c r="BQ240" s="4">
        <f t="shared" si="270"/>
        <v>-3.892173357357485</v>
      </c>
      <c r="BR240" s="4">
        <f t="shared" si="271"/>
        <v>23.805339691731071</v>
      </c>
      <c r="BS240" s="4">
        <f t="shared" si="272"/>
        <v>222.48212865323842</v>
      </c>
      <c r="BT240" s="4">
        <f t="shared" si="273"/>
        <v>1001.5119570166468</v>
      </c>
      <c r="BU240" s="4">
        <f t="shared" si="274"/>
        <v>1.3675100795003081</v>
      </c>
      <c r="BV240" s="4">
        <f t="shared" si="275"/>
        <v>23.907075773764966</v>
      </c>
      <c r="BW240" s="4">
        <f t="shared" si="276"/>
        <v>-138.39596457665809</v>
      </c>
      <c r="BX240" s="4">
        <f t="shared" si="277"/>
        <v>-864.6640656213682</v>
      </c>
      <c r="BY240" s="4">
        <f t="shared" si="278"/>
        <v>-2806.7704375900198</v>
      </c>
      <c r="BZ240" s="6">
        <f t="shared" si="279"/>
        <v>-2.4503799171166065</v>
      </c>
      <c r="CA240" s="7"/>
      <c r="CB240" s="6">
        <v>-2.4503758152168298</v>
      </c>
      <c r="CC240" s="6"/>
    </row>
    <row r="241" spans="1:81" x14ac:dyDescent="0.3">
      <c r="A241" s="4">
        <v>239</v>
      </c>
      <c r="B241" s="4">
        <v>72545294</v>
      </c>
      <c r="C241" s="4">
        <v>1.8480000000000001</v>
      </c>
      <c r="D241" s="4">
        <v>2.7890000000000001</v>
      </c>
      <c r="E241" s="4">
        <v>0.46700000000000003</v>
      </c>
      <c r="F241" s="4">
        <v>3.3140000000000001</v>
      </c>
      <c r="H241" s="6">
        <v>-2618.81325553337</v>
      </c>
      <c r="I241" s="4">
        <f t="shared" si="210"/>
        <v>85.770858280799999</v>
      </c>
      <c r="J241" s="4">
        <f t="shared" si="211"/>
        <v>-1372.5457199290001</v>
      </c>
      <c r="K241" s="4">
        <f t="shared" si="212"/>
        <v>1106.2420222000001</v>
      </c>
      <c r="L241" s="4">
        <f t="shared" si="213"/>
        <v>10709.21128168</v>
      </c>
      <c r="M241" s="4">
        <f t="shared" si="214"/>
        <v>13.195486541825282</v>
      </c>
      <c r="N241" s="4">
        <f t="shared" si="215"/>
        <v>13.03832433293544</v>
      </c>
      <c r="O241" s="4">
        <f t="shared" si="216"/>
        <v>-59.401484485728005</v>
      </c>
      <c r="P241" s="4">
        <f t="shared" si="217"/>
        <v>-234.81977055028798</v>
      </c>
      <c r="Q241" s="4">
        <f t="shared" si="218"/>
        <v>-93.349699933857508</v>
      </c>
      <c r="R241" s="4">
        <f t="shared" si="219"/>
        <v>235.68925787131801</v>
      </c>
      <c r="S241" s="4">
        <f t="shared" si="220"/>
        <v>3910.6461956717826</v>
      </c>
      <c r="T241" s="4">
        <f t="shared" si="221"/>
        <v>-90.522359562614014</v>
      </c>
      <c r="U241" s="4">
        <f t="shared" si="222"/>
        <v>-3181.9674223377806</v>
      </c>
      <c r="V241" s="4">
        <f t="shared" si="223"/>
        <v>-16327.8002132292</v>
      </c>
      <c r="W241" s="4">
        <f t="shared" si="224"/>
        <v>-0.22838005911409925</v>
      </c>
      <c r="X241" s="4">
        <f t="shared" si="225"/>
        <v>1.2638190898870671</v>
      </c>
      <c r="Y241" s="4">
        <f t="shared" si="226"/>
        <v>0.94859879911717537</v>
      </c>
      <c r="Z241" s="4">
        <f t="shared" si="227"/>
        <v>-29.68249382160645</v>
      </c>
      <c r="AA241" s="4">
        <f t="shared" si="228"/>
        <v>3.3397899259964707</v>
      </c>
      <c r="AB241" s="4">
        <f t="shared" si="229"/>
        <v>-25.93679440910066</v>
      </c>
      <c r="AC241" s="4">
        <f t="shared" si="230"/>
        <v>0.59281409273060048</v>
      </c>
      <c r="AD241" s="4">
        <f t="shared" si="231"/>
        <v>33.067726096507513</v>
      </c>
      <c r="AE241" s="4">
        <f t="shared" si="232"/>
        <v>56.938487606940143</v>
      </c>
      <c r="AF241" s="4">
        <f t="shared" si="233"/>
        <v>242.44702899080372</v>
      </c>
      <c r="AG241" s="4">
        <f t="shared" si="234"/>
        <v>-9.3918255805218838</v>
      </c>
      <c r="AH241" s="4">
        <f t="shared" si="235"/>
        <v>57.39933845960109</v>
      </c>
      <c r="AI241" s="4">
        <f t="shared" si="236"/>
        <v>124.25663977353356</v>
      </c>
      <c r="AJ241" s="4">
        <f t="shared" si="237"/>
        <v>-8.9424514417262664</v>
      </c>
      <c r="AK241" s="4">
        <f t="shared" si="238"/>
        <v>-535.91960514546861</v>
      </c>
      <c r="AL241" s="4">
        <f t="shared" si="239"/>
        <v>-3571.8734714468028</v>
      </c>
      <c r="AM241" s="4">
        <f t="shared" si="240"/>
        <v>-30.658070714038846</v>
      </c>
      <c r="AN241" s="4">
        <f t="shared" si="241"/>
        <v>233.71754995614259</v>
      </c>
      <c r="AO241" s="4">
        <f t="shared" si="242"/>
        <v>3065.9611621370495</v>
      </c>
      <c r="AP241" s="4">
        <f t="shared" si="243"/>
        <v>10899.889618571864</v>
      </c>
      <c r="AQ241" s="4">
        <f t="shared" si="244"/>
        <v>8.6070878914804179E-4</v>
      </c>
      <c r="AR241" s="4">
        <f t="shared" si="245"/>
        <v>-2.4123876154532917E-2</v>
      </c>
      <c r="AS241" s="4">
        <f t="shared" si="246"/>
        <v>9.6700825251769317E-4</v>
      </c>
      <c r="AT241" s="4">
        <f t="shared" si="247"/>
        <v>0.27763769382948161</v>
      </c>
      <c r="AU241" s="4">
        <f t="shared" si="248"/>
        <v>0.10810669430920031</v>
      </c>
      <c r="AV241" s="4">
        <f t="shared" si="249"/>
        <v>-1.3330234631534746E-3</v>
      </c>
      <c r="AW241" s="4">
        <f t="shared" si="250"/>
        <v>-1.5322987094130953</v>
      </c>
      <c r="AX241" s="4">
        <f t="shared" si="251"/>
        <v>-0.96424384877204394</v>
      </c>
      <c r="AY241" s="4">
        <f t="shared" si="252"/>
        <v>2.0854306772894451</v>
      </c>
      <c r="AZ241" s="4">
        <f t="shared" si="253"/>
        <v>14.194053137783207</v>
      </c>
      <c r="BA241" s="4">
        <f t="shared" si="254"/>
        <v>-3.4663734416320792E-2</v>
      </c>
      <c r="BB241" s="4">
        <f t="shared" si="255"/>
        <v>-1.707765652961956</v>
      </c>
      <c r="BC241" s="4">
        <f t="shared" si="256"/>
        <v>-0.89921829781754659</v>
      </c>
      <c r="BD241" s="4">
        <f t="shared" si="257"/>
        <v>5.6401462551964192</v>
      </c>
      <c r="BE241" s="4">
        <f t="shared" si="258"/>
        <v>15.030780645910307</v>
      </c>
      <c r="BF241" s="4">
        <f t="shared" si="259"/>
        <v>-10.01318098057825</v>
      </c>
      <c r="BG241" s="4">
        <f t="shared" si="260"/>
        <v>-1.8059804437240801</v>
      </c>
      <c r="BH241" s="4">
        <f t="shared" si="261"/>
        <v>-28.806654192587008</v>
      </c>
      <c r="BI241" s="4">
        <f t="shared" si="262"/>
        <v>-3.5039095969894389</v>
      </c>
      <c r="BJ241" s="4">
        <f t="shared" si="263"/>
        <v>-87.179216335885172</v>
      </c>
      <c r="BK241" s="4">
        <f t="shared" si="264"/>
        <v>3.6757217221298877E-2</v>
      </c>
      <c r="BL241" s="4">
        <f t="shared" si="265"/>
        <v>2.2044580184831086</v>
      </c>
      <c r="BM241" s="4">
        <f t="shared" si="266"/>
        <v>4.8141403132613227</v>
      </c>
      <c r="BN241" s="4">
        <f t="shared" si="267"/>
        <v>-4.8731639136467058</v>
      </c>
      <c r="BO241" s="4">
        <f t="shared" si="268"/>
        <v>-47.308442178305953</v>
      </c>
      <c r="BP241" s="4">
        <f t="shared" si="269"/>
        <v>-28.870913021316923</v>
      </c>
      <c r="BQ241" s="4">
        <f t="shared" si="270"/>
        <v>-6.0273964872978114</v>
      </c>
      <c r="BR241" s="4">
        <f t="shared" si="271"/>
        <v>32.329808028612433</v>
      </c>
      <c r="BS241" s="4">
        <f t="shared" si="272"/>
        <v>264.98118105669505</v>
      </c>
      <c r="BT241" s="4">
        <f t="shared" si="273"/>
        <v>1046.0855346083126</v>
      </c>
      <c r="BU241" s="4">
        <f t="shared" si="274"/>
        <v>2.2140972567897119</v>
      </c>
      <c r="BV241" s="4">
        <f t="shared" si="275"/>
        <v>33.945622202118813</v>
      </c>
      <c r="BW241" s="4">
        <f t="shared" si="276"/>
        <v>-172.33436962107351</v>
      </c>
      <c r="BX241" s="4">
        <f t="shared" si="277"/>
        <v>-944.25010368712219</v>
      </c>
      <c r="BY241" s="4">
        <f t="shared" si="278"/>
        <v>-2688.0520991176577</v>
      </c>
      <c r="BZ241" s="6">
        <f t="shared" si="279"/>
        <v>-2.4765132977122448</v>
      </c>
      <c r="CA241" s="7"/>
      <c r="CB241" s="6">
        <v>-2.476509443917621</v>
      </c>
      <c r="CC241" s="6"/>
    </row>
    <row r="242" spans="1:81" x14ac:dyDescent="0.3">
      <c r="A242" s="4">
        <v>240</v>
      </c>
      <c r="B242" s="4">
        <v>440917</v>
      </c>
      <c r="C242" s="4">
        <v>1.996</v>
      </c>
      <c r="D242" s="4">
        <v>2.335</v>
      </c>
      <c r="E242" s="4">
        <v>0.94699999999999995</v>
      </c>
      <c r="F242" s="4">
        <v>2.2949999999999999</v>
      </c>
      <c r="H242" s="6">
        <v>-2618.81325553337</v>
      </c>
      <c r="I242" s="4">
        <f t="shared" si="210"/>
        <v>92.639952991599998</v>
      </c>
      <c r="J242" s="4">
        <f t="shared" si="211"/>
        <v>-1149.1194894350001</v>
      </c>
      <c r="K242" s="4">
        <f t="shared" si="212"/>
        <v>2243.2787901999995</v>
      </c>
      <c r="L242" s="4">
        <f t="shared" si="213"/>
        <v>7416.3065453999998</v>
      </c>
      <c r="M242" s="4">
        <f t="shared" si="214"/>
        <v>15.39368332865312</v>
      </c>
      <c r="N242" s="4">
        <f t="shared" si="215"/>
        <v>11.790133448958199</v>
      </c>
      <c r="O242" s="4">
        <f t="shared" si="216"/>
        <v>-130.10349610289597</v>
      </c>
      <c r="P242" s="4">
        <f t="shared" si="217"/>
        <v>-175.63999465277999</v>
      </c>
      <c r="Q242" s="4">
        <f t="shared" si="218"/>
        <v>-65.431920505437489</v>
      </c>
      <c r="R242" s="4">
        <f t="shared" si="219"/>
        <v>400.13934600956998</v>
      </c>
      <c r="S242" s="4">
        <f t="shared" si="220"/>
        <v>2267.3422594887752</v>
      </c>
      <c r="T242" s="4">
        <f t="shared" si="221"/>
        <v>-372.23916271333394</v>
      </c>
      <c r="U242" s="4">
        <f t="shared" si="222"/>
        <v>-4468.4717142181498</v>
      </c>
      <c r="V242" s="4">
        <f t="shared" si="223"/>
        <v>-7830.473953342499</v>
      </c>
      <c r="W242" s="4">
        <f t="shared" si="224"/>
        <v>-0.28776229683363364</v>
      </c>
      <c r="X242" s="4">
        <f t="shared" si="225"/>
        <v>1.2343559699103426</v>
      </c>
      <c r="Y242" s="4">
        <f t="shared" si="226"/>
        <v>2.2440514458695691</v>
      </c>
      <c r="Z242" s="4">
        <f t="shared" si="227"/>
        <v>-23.979919011445659</v>
      </c>
      <c r="AA242" s="4">
        <f t="shared" si="228"/>
        <v>2.5284505346423858</v>
      </c>
      <c r="AB242" s="4">
        <f t="shared" si="229"/>
        <v>-47.560492008663203</v>
      </c>
      <c r="AC242" s="4">
        <f t="shared" si="230"/>
        <v>0.37123220581924893</v>
      </c>
      <c r="AD242" s="4">
        <f t="shared" si="231"/>
        <v>146.86864854618523</v>
      </c>
      <c r="AE242" s="4">
        <f t="shared" si="232"/>
        <v>86.363012235350681</v>
      </c>
      <c r="AF242" s="4">
        <f t="shared" si="233"/>
        <v>125.58443272138251</v>
      </c>
      <c r="AG242" s="4">
        <f t="shared" si="234"/>
        <v>-5.5114405910338338</v>
      </c>
      <c r="AH242" s="4">
        <f t="shared" si="235"/>
        <v>81.586203966088519</v>
      </c>
      <c r="AI242" s="4">
        <f t="shared" si="236"/>
        <v>60.31516663923226</v>
      </c>
      <c r="AJ242" s="4">
        <f t="shared" si="237"/>
        <v>-30.786559522240125</v>
      </c>
      <c r="AK242" s="4">
        <f t="shared" si="238"/>
        <v>-630.08813216168721</v>
      </c>
      <c r="AL242" s="4">
        <f t="shared" si="239"/>
        <v>-1434.1507634468653</v>
      </c>
      <c r="AM242" s="4">
        <f t="shared" si="240"/>
        <v>-255.64901097162405</v>
      </c>
      <c r="AN242" s="4">
        <f t="shared" si="241"/>
        <v>665.56075794684682</v>
      </c>
      <c r="AO242" s="4">
        <f t="shared" si="242"/>
        <v>2981.6737312451837</v>
      </c>
      <c r="AP242" s="4">
        <f t="shared" si="243"/>
        <v>3620.0340648454589</v>
      </c>
      <c r="AQ242" s="4">
        <f t="shared" si="244"/>
        <v>1.1713603467365158E-3</v>
      </c>
      <c r="AR242" s="4">
        <f t="shared" si="245"/>
        <v>-2.5448440353709256E-2</v>
      </c>
      <c r="AS242" s="4">
        <f t="shared" si="246"/>
        <v>2.4708079442922891E-3</v>
      </c>
      <c r="AT242" s="4">
        <f t="shared" si="247"/>
        <v>0.24226145672148722</v>
      </c>
      <c r="AU242" s="4">
        <f t="shared" si="248"/>
        <v>8.8398820255008739E-2</v>
      </c>
      <c r="AV242" s="4">
        <f t="shared" si="249"/>
        <v>-2.6401366314059678E-3</v>
      </c>
      <c r="AW242" s="4">
        <f t="shared" si="250"/>
        <v>-1.0364041238068133</v>
      </c>
      <c r="AX242" s="4">
        <f t="shared" si="251"/>
        <v>-4.6256227898893734</v>
      </c>
      <c r="AY242" s="4">
        <f t="shared" si="252"/>
        <v>3.4164587559105919</v>
      </c>
      <c r="AZ242" s="4">
        <f t="shared" si="253"/>
        <v>7.9411598556684204</v>
      </c>
      <c r="BA242" s="4">
        <f t="shared" si="254"/>
        <v>-2.1970959856236007E-2</v>
      </c>
      <c r="BB242" s="4">
        <f t="shared" si="255"/>
        <v>-2.6217826457955065</v>
      </c>
      <c r="BC242" s="4">
        <f t="shared" si="256"/>
        <v>-0.47144456428167708</v>
      </c>
      <c r="BD242" s="4">
        <f t="shared" si="257"/>
        <v>20.972659378759868</v>
      </c>
      <c r="BE242" s="4">
        <f t="shared" si="258"/>
        <v>19.087179680543503</v>
      </c>
      <c r="BF242" s="4">
        <f t="shared" si="259"/>
        <v>-4.3423955213654528</v>
      </c>
      <c r="BG242" s="4">
        <f t="shared" si="260"/>
        <v>-16.265630731998574</v>
      </c>
      <c r="BH242" s="4">
        <f t="shared" si="261"/>
        <v>-88.602866381229376</v>
      </c>
      <c r="BI242" s="4">
        <f t="shared" si="262"/>
        <v>-3.6804839879533162</v>
      </c>
      <c r="BJ242" s="4">
        <f t="shared" si="263"/>
        <v>-31.27246306162586</v>
      </c>
      <c r="BK242" s="4">
        <f t="shared" si="264"/>
        <v>1.8059100187698254E-2</v>
      </c>
      <c r="BL242" s="4">
        <f t="shared" si="265"/>
        <v>2.6233125861595576</v>
      </c>
      <c r="BM242" s="4">
        <f t="shared" si="266"/>
        <v>1.9564287751488509</v>
      </c>
      <c r="BN242" s="4">
        <f t="shared" si="267"/>
        <v>-14.046041838267154</v>
      </c>
      <c r="BO242" s="4">
        <f t="shared" si="268"/>
        <v>-46.567044255151615</v>
      </c>
      <c r="BP242" s="4">
        <f t="shared" si="269"/>
        <v>-9.7050467372884679</v>
      </c>
      <c r="BQ242" s="4">
        <f t="shared" si="270"/>
        <v>-42.079195358887311</v>
      </c>
      <c r="BR242" s="4">
        <f t="shared" si="271"/>
        <v>77.079320798697566</v>
      </c>
      <c r="BS242" s="4">
        <f t="shared" si="272"/>
        <v>215.74804652842494</v>
      </c>
      <c r="BT242" s="4">
        <f t="shared" si="273"/>
        <v>290.86812051156136</v>
      </c>
      <c r="BU242" s="4">
        <f t="shared" si="274"/>
        <v>37.439417882548248</v>
      </c>
      <c r="BV242" s="4">
        <f t="shared" si="275"/>
        <v>196.02580884818661</v>
      </c>
      <c r="BW242" s="4">
        <f t="shared" si="276"/>
        <v>-339.85875986739819</v>
      </c>
      <c r="BX242" s="4">
        <f t="shared" si="277"/>
        <v>-635.93202611019774</v>
      </c>
      <c r="BY242" s="4">
        <f t="shared" si="278"/>
        <v>-618.24188564469557</v>
      </c>
      <c r="BZ242" s="6">
        <f t="shared" si="279"/>
        <v>-2.9411253539427662</v>
      </c>
      <c r="CA242" s="7"/>
      <c r="CB242" s="6">
        <v>-2.9411252311069802</v>
      </c>
      <c r="CC242" s="6"/>
    </row>
    <row r="243" spans="1:81" x14ac:dyDescent="0.3">
      <c r="A243" s="4">
        <v>241</v>
      </c>
      <c r="B243" s="4">
        <v>70834779</v>
      </c>
      <c r="C243" s="4">
        <v>1.655</v>
      </c>
      <c r="D243" s="4">
        <v>2.1190000000000002</v>
      </c>
      <c r="E243" s="4">
        <v>0.36599999999999999</v>
      </c>
      <c r="F243" s="4">
        <v>2.7930000000000001</v>
      </c>
      <c r="H243" s="6">
        <v>-2618.81325553337</v>
      </c>
      <c r="I243" s="4">
        <f t="shared" si="210"/>
        <v>76.813187475500001</v>
      </c>
      <c r="J243" s="4">
        <f t="shared" si="211"/>
        <v>-1042.8197850590002</v>
      </c>
      <c r="K243" s="4">
        <f t="shared" si="212"/>
        <v>866.99053559999993</v>
      </c>
      <c r="L243" s="4">
        <f t="shared" si="213"/>
        <v>9025.5965931600003</v>
      </c>
      <c r="M243" s="4">
        <f t="shared" si="214"/>
        <v>10.583211382500501</v>
      </c>
      <c r="N243" s="4">
        <f t="shared" si="215"/>
        <v>8.8715653036601498</v>
      </c>
      <c r="O243" s="4">
        <f t="shared" si="216"/>
        <v>-41.692461318839996</v>
      </c>
      <c r="P243" s="4">
        <f t="shared" si="217"/>
        <v>-177.23485006678501</v>
      </c>
      <c r="Q243" s="4">
        <f t="shared" si="218"/>
        <v>-53.886231329157503</v>
      </c>
      <c r="R243" s="4">
        <f t="shared" si="219"/>
        <v>140.34160409864401</v>
      </c>
      <c r="S243" s="4">
        <f t="shared" si="220"/>
        <v>2504.0869232086893</v>
      </c>
      <c r="T243" s="4">
        <f t="shared" si="221"/>
        <v>-55.601214172055997</v>
      </c>
      <c r="U243" s="4">
        <f t="shared" si="222"/>
        <v>-2101.7369784637804</v>
      </c>
      <c r="V243" s="4">
        <f t="shared" si="223"/>
        <v>-11597.504266347301</v>
      </c>
      <c r="W243" s="4">
        <f t="shared" si="224"/>
        <v>-0.16403868332496566</v>
      </c>
      <c r="X243" s="4">
        <f t="shared" si="225"/>
        <v>0.77012179774930001</v>
      </c>
      <c r="Y243" s="4">
        <f t="shared" si="226"/>
        <v>0.59626434131989436</v>
      </c>
      <c r="Z243" s="4">
        <f t="shared" si="227"/>
        <v>-20.063693286698005</v>
      </c>
      <c r="AA243" s="4">
        <f t="shared" si="228"/>
        <v>1.7265536045921837</v>
      </c>
      <c r="AB243" s="4">
        <f t="shared" si="229"/>
        <v>-13.831171871388886</v>
      </c>
      <c r="AC243" s="4">
        <f t="shared" si="230"/>
        <v>0.33995029680983724</v>
      </c>
      <c r="AD243" s="4">
        <f t="shared" si="231"/>
        <v>18.189835542457956</v>
      </c>
      <c r="AE243" s="4">
        <f t="shared" si="232"/>
        <v>33.680970343298192</v>
      </c>
      <c r="AF243" s="4">
        <f t="shared" si="233"/>
        <v>154.22321806326156</v>
      </c>
      <c r="AG243" s="4">
        <f t="shared" si="234"/>
        <v>-4.1190526753980139</v>
      </c>
      <c r="AH243" s="4">
        <f t="shared" si="235"/>
        <v>25.967848981117577</v>
      </c>
      <c r="AI243" s="4">
        <f t="shared" si="236"/>
        <v>60.450920935539415</v>
      </c>
      <c r="AJ243" s="4">
        <f t="shared" si="237"/>
        <v>-4.1731831260112031</v>
      </c>
      <c r="AK243" s="4">
        <f t="shared" si="238"/>
        <v>-268.94577349298788</v>
      </c>
      <c r="AL243" s="4">
        <f t="shared" si="239"/>
        <v>-1927.5931393631547</v>
      </c>
      <c r="AM243" s="4">
        <f t="shared" si="240"/>
        <v>-14.758337443268445</v>
      </c>
      <c r="AN243" s="4">
        <f t="shared" si="241"/>
        <v>120.98684906035786</v>
      </c>
      <c r="AO243" s="4">
        <f t="shared" si="242"/>
        <v>1706.7413765456549</v>
      </c>
      <c r="AP243" s="4">
        <f t="shared" si="243"/>
        <v>6524.9531057409167</v>
      </c>
      <c r="AQ243" s="4">
        <f t="shared" si="244"/>
        <v>5.5365644868982816E-4</v>
      </c>
      <c r="AR243" s="4">
        <f t="shared" si="245"/>
        <v>-1.3164901873630099E-2</v>
      </c>
      <c r="AS243" s="4">
        <f t="shared" si="246"/>
        <v>5.443553291011136E-4</v>
      </c>
      <c r="AT243" s="4">
        <f t="shared" si="247"/>
        <v>0.16806796965975035</v>
      </c>
      <c r="AU243" s="4">
        <f t="shared" si="248"/>
        <v>5.0050628455361741E-2</v>
      </c>
      <c r="AV243" s="4">
        <f t="shared" si="249"/>
        <v>-6.3661446660252666E-4</v>
      </c>
      <c r="AW243" s="4">
        <f t="shared" si="250"/>
        <v>-0.78693048950854916</v>
      </c>
      <c r="AX243" s="4">
        <f t="shared" si="251"/>
        <v>-0.47501502754189578</v>
      </c>
      <c r="AY243" s="4">
        <f t="shared" si="252"/>
        <v>1.1047663986470961</v>
      </c>
      <c r="AZ243" s="4">
        <f t="shared" si="253"/>
        <v>8.0860300774923619</v>
      </c>
      <c r="BA243" s="4">
        <f t="shared" si="254"/>
        <v>-1.3615033277244639E-2</v>
      </c>
      <c r="BB243" s="4">
        <f t="shared" si="255"/>
        <v>-0.69191603533366841</v>
      </c>
      <c r="BC243" s="4">
        <f t="shared" si="256"/>
        <v>-0.39178200396896884</v>
      </c>
      <c r="BD243" s="4">
        <f t="shared" si="257"/>
        <v>2.3572044331426403</v>
      </c>
      <c r="BE243" s="4">
        <f t="shared" si="258"/>
        <v>6.7552689903184095</v>
      </c>
      <c r="BF243" s="4">
        <f t="shared" si="259"/>
        <v>-4.8393541187809586</v>
      </c>
      <c r="BG243" s="4">
        <f t="shared" si="260"/>
        <v>-0.77857721308319594</v>
      </c>
      <c r="BH243" s="4">
        <f t="shared" si="261"/>
        <v>-13.354747823645566</v>
      </c>
      <c r="BI243" s="4">
        <f t="shared" si="262"/>
        <v>-1.7468273855414522</v>
      </c>
      <c r="BJ243" s="4">
        <f t="shared" si="263"/>
        <v>-46.73737179531792</v>
      </c>
      <c r="BK243" s="4">
        <f t="shared" si="264"/>
        <v>1.2248203533558951E-2</v>
      </c>
      <c r="BL243" s="4">
        <f t="shared" si="265"/>
        <v>0.75772805040596791</v>
      </c>
      <c r="BM243" s="4">
        <f t="shared" si="266"/>
        <v>1.7794447291732183</v>
      </c>
      <c r="BN243" s="4">
        <f t="shared" si="267"/>
        <v>-1.7278431440701738</v>
      </c>
      <c r="BO243" s="4">
        <f t="shared" si="268"/>
        <v>-18.037908049222999</v>
      </c>
      <c r="BP243" s="4">
        <f t="shared" si="269"/>
        <v>-11.837561994613424</v>
      </c>
      <c r="BQ243" s="4">
        <f t="shared" si="270"/>
        <v>-2.2044731703896985</v>
      </c>
      <c r="BR243" s="4">
        <f t="shared" si="271"/>
        <v>12.715469764842025</v>
      </c>
      <c r="BS243" s="4">
        <f t="shared" si="272"/>
        <v>112.07236636183222</v>
      </c>
      <c r="BT243" s="4">
        <f t="shared" si="273"/>
        <v>475.77863276698099</v>
      </c>
      <c r="BU243" s="4">
        <f t="shared" si="274"/>
        <v>0.83532121819346283</v>
      </c>
      <c r="BV243" s="4">
        <f t="shared" si="275"/>
        <v>13.771930409967107</v>
      </c>
      <c r="BW243" s="4">
        <f t="shared" si="276"/>
        <v>-75.186033312548076</v>
      </c>
      <c r="BX243" s="4">
        <f t="shared" si="277"/>
        <v>-443.00287107674188</v>
      </c>
      <c r="BY243" s="4">
        <f t="shared" si="278"/>
        <v>-1356.1614914543634</v>
      </c>
      <c r="BZ243" s="6">
        <f t="shared" si="279"/>
        <v>-2.7692893803211973</v>
      </c>
      <c r="CA243" s="7"/>
      <c r="CB243" s="6">
        <v>-2.7692856776197909</v>
      </c>
      <c r="CC243" s="6"/>
    </row>
    <row r="244" spans="1:81" x14ac:dyDescent="0.3">
      <c r="A244" s="4">
        <v>242</v>
      </c>
      <c r="B244" s="4">
        <v>10977479</v>
      </c>
      <c r="C244" s="4">
        <v>4.1130000000000004</v>
      </c>
      <c r="D244" s="4">
        <v>4.4880000000000004</v>
      </c>
      <c r="E244" s="4">
        <v>0.875</v>
      </c>
      <c r="F244" s="4">
        <v>2.907</v>
      </c>
      <c r="H244" s="6">
        <v>-2618.81325553337</v>
      </c>
      <c r="I244" s="4">
        <f t="shared" si="210"/>
        <v>190.89585503730001</v>
      </c>
      <c r="J244" s="4">
        <f t="shared" si="211"/>
        <v>-2208.6716353680004</v>
      </c>
      <c r="K244" s="4">
        <f t="shared" si="212"/>
        <v>2072.7232749999998</v>
      </c>
      <c r="L244" s="4">
        <f t="shared" si="213"/>
        <v>9393.9882908399995</v>
      </c>
      <c r="M244" s="4">
        <f t="shared" si="214"/>
        <v>65.36404094009059</v>
      </c>
      <c r="N244" s="4">
        <f t="shared" si="215"/>
        <v>46.696341529640883</v>
      </c>
      <c r="O244" s="4">
        <f t="shared" si="216"/>
        <v>-247.7109549285</v>
      </c>
      <c r="P244" s="4">
        <f t="shared" si="217"/>
        <v>-458.44150508118901</v>
      </c>
      <c r="Q244" s="4">
        <f t="shared" si="218"/>
        <v>-241.72501410288007</v>
      </c>
      <c r="R244" s="4">
        <f t="shared" si="219"/>
        <v>710.61651322199998</v>
      </c>
      <c r="S244" s="4">
        <f t="shared" si="220"/>
        <v>5520.0802041720726</v>
      </c>
      <c r="T244" s="4">
        <f t="shared" si="221"/>
        <v>-317.78852459374997</v>
      </c>
      <c r="U244" s="4">
        <f t="shared" si="222"/>
        <v>-5229.7319428987503</v>
      </c>
      <c r="V244" s="4">
        <f t="shared" si="223"/>
        <v>-12563.5604318073</v>
      </c>
      <c r="W244" s="4">
        <f t="shared" si="224"/>
        <v>-2.5178416242829673</v>
      </c>
      <c r="X244" s="4">
        <f t="shared" si="225"/>
        <v>10.074018180575496</v>
      </c>
      <c r="Y244" s="4">
        <f t="shared" si="226"/>
        <v>8.804145844660912</v>
      </c>
      <c r="Z244" s="4">
        <f t="shared" si="227"/>
        <v>-128.97525613269556</v>
      </c>
      <c r="AA244" s="4">
        <f t="shared" si="228"/>
        <v>19.247953507452667</v>
      </c>
      <c r="AB244" s="4">
        <f t="shared" si="229"/>
        <v>-174.04780422541054</v>
      </c>
      <c r="AC244" s="4">
        <f t="shared" si="230"/>
        <v>1.8623964009167224</v>
      </c>
      <c r="AD244" s="4">
        <f t="shared" si="231"/>
        <v>258.37079361758441</v>
      </c>
      <c r="AE244" s="4">
        <f t="shared" si="232"/>
        <v>208.27942500669968</v>
      </c>
      <c r="AF244" s="4">
        <f t="shared" si="233"/>
        <v>415.20126166484022</v>
      </c>
      <c r="AG244" s="4">
        <f t="shared" si="234"/>
        <v>-39.13479114930491</v>
      </c>
      <c r="AH244" s="4">
        <f t="shared" si="235"/>
        <v>278.48815471018088</v>
      </c>
      <c r="AI244" s="4">
        <f t="shared" si="236"/>
        <v>282.24145389936331</v>
      </c>
      <c r="AJ244" s="4">
        <f t="shared" si="237"/>
        <v>-50.5176650979</v>
      </c>
      <c r="AK244" s="4">
        <f t="shared" si="238"/>
        <v>-1417.3844992294682</v>
      </c>
      <c r="AL244" s="4">
        <f t="shared" si="239"/>
        <v>-4422.6793701873548</v>
      </c>
      <c r="AM244" s="4">
        <f t="shared" si="240"/>
        <v>-201.65933883593749</v>
      </c>
      <c r="AN244" s="4">
        <f t="shared" si="241"/>
        <v>719.72435236176568</v>
      </c>
      <c r="AO244" s="4">
        <f t="shared" si="242"/>
        <v>4420.2097376842548</v>
      </c>
      <c r="AP244" s="4">
        <f t="shared" si="243"/>
        <v>7356.981822451854</v>
      </c>
      <c r="AQ244" s="4">
        <f t="shared" si="244"/>
        <v>2.1119479388407168E-2</v>
      </c>
      <c r="AR244" s="4">
        <f t="shared" si="245"/>
        <v>-0.42797820420624794</v>
      </c>
      <c r="AS244" s="4">
        <f t="shared" si="246"/>
        <v>1.9975220439363093E-2</v>
      </c>
      <c r="AT244" s="4">
        <f t="shared" si="247"/>
        <v>2.6849807964623231</v>
      </c>
      <c r="AU244" s="4">
        <f t="shared" si="248"/>
        <v>1.3866751757687534</v>
      </c>
      <c r="AV244" s="4">
        <f t="shared" si="249"/>
        <v>-1.9908878004609658E-2</v>
      </c>
      <c r="AW244" s="4">
        <f t="shared" si="250"/>
        <v>-10.714052810434186</v>
      </c>
      <c r="AX244" s="4">
        <f t="shared" si="251"/>
        <v>-16.76805567144136</v>
      </c>
      <c r="AY244" s="4">
        <f t="shared" si="252"/>
        <v>16.978250746099405</v>
      </c>
      <c r="AZ244" s="4">
        <f t="shared" si="253"/>
        <v>54.100959478766256</v>
      </c>
      <c r="BA244" s="4">
        <f t="shared" si="254"/>
        <v>-0.3214734367829587</v>
      </c>
      <c r="BB244" s="4">
        <f t="shared" si="255"/>
        <v>-18.441016554523898</v>
      </c>
      <c r="BC244" s="4">
        <f t="shared" si="256"/>
        <v>-4.5459334528092814</v>
      </c>
      <c r="BD244" s="4">
        <f t="shared" si="257"/>
        <v>70.914294624828869</v>
      </c>
      <c r="BE244" s="4">
        <f t="shared" si="258"/>
        <v>88.476169844693231</v>
      </c>
      <c r="BF244" s="4">
        <f t="shared" si="259"/>
        <v>-27.594224784011267</v>
      </c>
      <c r="BG244" s="4">
        <f t="shared" si="260"/>
        <v>-26.43889518921041</v>
      </c>
      <c r="BH244" s="4">
        <f t="shared" si="261"/>
        <v>-197.43513199312045</v>
      </c>
      <c r="BI244" s="4">
        <f t="shared" si="262"/>
        <v>-11.243094552790959</v>
      </c>
      <c r="BJ244" s="4">
        <f t="shared" si="263"/>
        <v>-130.96259937453462</v>
      </c>
      <c r="BK244" s="4">
        <f t="shared" si="264"/>
        <v>0.24646767072888709</v>
      </c>
      <c r="BL244" s="4">
        <f t="shared" si="265"/>
        <v>17.210996131063602</v>
      </c>
      <c r="BM244" s="4">
        <f t="shared" si="266"/>
        <v>17.596418150413154</v>
      </c>
      <c r="BN244" s="4">
        <f t="shared" si="267"/>
        <v>-44.299827225201255</v>
      </c>
      <c r="BO244" s="4">
        <f t="shared" si="268"/>
        <v>-201.34044098597994</v>
      </c>
      <c r="BP244" s="4">
        <f t="shared" si="269"/>
        <v>-57.524684005128783</v>
      </c>
      <c r="BQ244" s="4">
        <f t="shared" si="270"/>
        <v>-63.798080466192189</v>
      </c>
      <c r="BR244" s="4">
        <f t="shared" si="271"/>
        <v>160.20731149278822</v>
      </c>
      <c r="BS244" s="4">
        <f t="shared" si="272"/>
        <v>614.74583256015319</v>
      </c>
      <c r="BT244" s="4">
        <f t="shared" si="273"/>
        <v>1136.1851630278734</v>
      </c>
      <c r="BU244" s="4">
        <f t="shared" si="274"/>
        <v>27.287351400585937</v>
      </c>
      <c r="BV244" s="4">
        <f t="shared" si="275"/>
        <v>195.8618347555078</v>
      </c>
      <c r="BW244" s="4">
        <f t="shared" si="276"/>
        <v>-465.52102473684232</v>
      </c>
      <c r="BX244" s="4">
        <f t="shared" si="277"/>
        <v>-1194.1415139281526</v>
      </c>
      <c r="BY244" s="4">
        <f t="shared" si="278"/>
        <v>-1591.5042129205412</v>
      </c>
      <c r="BZ244" s="6">
        <f t="shared" si="279"/>
        <v>-2.6281433391905011</v>
      </c>
      <c r="CA244" s="7"/>
      <c r="CB244" s="6">
        <v>-2.628144345783312</v>
      </c>
      <c r="CC244" s="6"/>
    </row>
  </sheetData>
  <mergeCells count="1">
    <mergeCell ref="A1:H1"/>
  </mergeCells>
  <phoneticPr fontId="4" type="noConversion"/>
  <conditionalFormatting sqref="I1 B2:B1048576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Railton Marques</cp:lastModifiedBy>
  <dcterms:created xsi:type="dcterms:W3CDTF">2026-04-30T19:36:28Z</dcterms:created>
  <dcterms:modified xsi:type="dcterms:W3CDTF">2026-05-26T19:04:29Z</dcterms:modified>
</cp:coreProperties>
</file>